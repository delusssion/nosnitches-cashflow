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делка 1" sheetId="2" state="visible" r:id="rId2"/>
    <sheet name="Сделка 2" sheetId="3" state="visible" r:id="rId3"/>
    <sheet name="Сделка 16" sheetId="4" state="visible" r:id="rId4"/>
    <sheet name="Сделка 22" sheetId="5" state="visible" r:id="rId5"/>
    <sheet name="Сделка 4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00%"/>
    <numFmt numFmtId="167" formatCode="0.0000000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5EB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166" fontId="0" fillId="2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167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Эталонный расчёт с живыми формулами — nosnitches-cashflow</t>
        </is>
      </c>
    </row>
    <row r="2">
      <c r="A2" t="inlineStr"/>
    </row>
    <row r="3">
      <c r="A3" t="inlineStr">
        <is>
          <t>Каждый лист — одна сделка. Зелёные ячейки — параметры сделки (вход), всё остальное — формулы.</t>
        </is>
      </c>
    </row>
    <row r="4">
      <c r="A4" t="inlineStr">
        <is>
          <t>Даты: формула по правилу периода (начало, период, число месяца) и номеру периода k в колонке A;</t>
        </is>
      </c>
    </row>
    <row r="5">
      <c r="A5" t="inlineStr">
        <is>
          <t xml:space="preserve">  явные даты графика — ссылка на параметр; последняя дата — дата погашения.</t>
        </is>
      </c>
    </row>
    <row r="6">
      <c r="A6" t="inlineStr">
        <is>
          <t>Доля года: ACT/ACT ISDA — дни каждого календарного года / число дней в этом году; ACT/365 — дни / 365.</t>
        </is>
      </c>
    </row>
    <row r="7">
      <c r="A7" t="inlineStr">
        <is>
          <t>Ставка на отрезке: FLOAT — min(cap, max(floor, КС на дату фиксинга + маржа)); значения КС — параметры;</t>
        </is>
      </c>
    </row>
    <row r="8">
      <c r="A8" t="inlineStr">
        <is>
          <t xml:space="preserve">  после даты расчёта КС = значение на дату расчёта (гипотеза H3).</t>
        </is>
      </c>
    </row>
    <row r="9">
      <c r="A9" t="inlineStr">
        <is>
          <t>Начислено на отрезке: B · r · τ; проценты к выплате — сумма начислений с прошлой выплаты.</t>
        </is>
      </c>
    </row>
    <row r="10">
      <c r="A10" t="inlineStr">
        <is>
          <t>Тело: ANN — A − проценты; RGM — B0 / n; SIMPLE — по графику, не больше остатка; последнее — весь остаток.</t>
        </is>
      </c>
    </row>
    <row r="11">
      <c r="A11" t="inlineStr">
        <is>
          <t>Первая строка — начало периода начисления (последняя выплата до даты расчёта): проценты до даты</t>
        </is>
      </c>
    </row>
    <row r="12">
      <c r="A12" t="inlineStr">
        <is>
          <t xml:space="preserve">  расчёта входят в первый будущий платёж.</t>
        </is>
      </c>
    </row>
    <row r="13">
      <c r="A13" t="inlineStr">
        <is>
          <t>Сверка с testdata/golden/deal_&lt;id&gt;.csv: analytics/tests/test_golden_xlsx.py (LibreOffice headless, допуск 0,01).</t>
        </is>
      </c>
    </row>
    <row r="14">
      <c r="A14" t="inlineStr">
        <is>
          <t>Методика: docs/METHODOLOGY.md.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0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13" customWidth="1" min="5" max="5"/>
    <col width="17" customWidth="1" min="6" max="6"/>
    <col width="11" customWidth="1" min="7" max="7"/>
    <col width="16" customWidth="1" min="8" max="8"/>
    <col width="17" customWidth="1" min="9" max="9"/>
    <col width="16" customWidth="1" min="10" max="10"/>
    <col width="17" customWidth="1" min="11" max="11"/>
    <col width="11" customWidth="1" min="12" max="12"/>
    <col width="16" customWidth="1" min="13" max="13"/>
    <col width="16" customWidth="1" min="14" max="14"/>
  </cols>
  <sheetData>
    <row r="1">
      <c r="A1" s="1" t="inlineStr">
        <is>
          <t>Сделка 1: эталон с формулами (методика docs/METHODOLOGY.md)</t>
        </is>
      </c>
    </row>
    <row r="2">
      <c r="D2" s="2" t="inlineStr">
        <is>
          <t>Правила дат</t>
        </is>
      </c>
    </row>
    <row r="3">
      <c r="A3" t="inlineStr">
        <is>
          <t>Сделка</t>
        </is>
      </c>
      <c r="B3" s="3" t="n">
        <v>1</v>
      </c>
      <c r="D3" t="inlineStr">
        <is>
          <t>Тело: начало</t>
        </is>
      </c>
      <c r="E3" s="4" t="n">
        <v>44004</v>
      </c>
    </row>
    <row r="4">
      <c r="A4" t="inlineStr">
        <is>
          <t>Тип погашения</t>
        </is>
      </c>
      <c r="B4" s="3" t="inlineStr">
        <is>
          <t>ANN</t>
        </is>
      </c>
      <c r="D4" t="inlineStr">
        <is>
          <t>Тело: период, мес.</t>
        </is>
      </c>
      <c r="E4" s="3" t="n">
        <v>1</v>
      </c>
    </row>
    <row r="5">
      <c r="A5" t="inlineStr">
        <is>
          <t>Дата расчёта T0</t>
        </is>
      </c>
      <c r="B5" s="4" t="n">
        <v>44804</v>
      </c>
      <c r="D5" t="inlineStr">
        <is>
          <t>Тело: число месяца</t>
        </is>
      </c>
      <c r="E5" s="3" t="n">
        <v>22</v>
      </c>
    </row>
    <row r="6">
      <c r="A6" t="inlineStr">
        <is>
          <t>Дата погашения Tm</t>
        </is>
      </c>
      <c r="B6" s="4" t="n">
        <v>54954</v>
      </c>
    </row>
    <row r="7">
      <c r="A7" t="inlineStr">
        <is>
          <t>Остаток на T0, B0</t>
        </is>
      </c>
      <c r="B7" s="5" t="n">
        <v>3646037.89</v>
      </c>
    </row>
    <row r="8">
      <c r="A8" t="inlineStr">
        <is>
          <t>Конвенция</t>
        </is>
      </c>
      <c r="B8" s="3" t="inlineStr">
        <is>
          <t>ACT/ACT</t>
        </is>
      </c>
    </row>
    <row r="9">
      <c r="A9" t="inlineStr">
        <is>
          <t>Тип ставки</t>
        </is>
      </c>
      <c r="B9" s="3" t="inlineStr">
        <is>
          <t>FIXED</t>
        </is>
      </c>
    </row>
    <row r="10">
      <c r="A10" t="inlineStr">
        <is>
          <t>interest_rate (ставка / маржа)</t>
        </is>
      </c>
      <c r="B10" s="6" t="n">
        <v>0.075</v>
      </c>
    </row>
    <row r="11">
      <c r="A11" s="2" t="inlineStr">
        <is>
          <t>Ставка клиента на T0 (для аннуитета)</t>
        </is>
      </c>
      <c r="B11" s="7">
        <f>$B$10</f>
        <v/>
      </c>
    </row>
    <row r="13">
      <c r="A13" s="2" t="inlineStr">
        <is>
          <t>Число будущих дат тела n</t>
        </is>
      </c>
      <c r="B13">
        <f>COUNTIF(C23:C357,"*тело*")</f>
        <v/>
      </c>
    </row>
    <row r="14">
      <c r="A14" s="2" t="inlineStr">
        <is>
          <t>Аннуитет A = B0·i/(1−(1+i)^−n), i = r/12</t>
        </is>
      </c>
      <c r="B14" s="8">
        <f>$B$7*($B$11/12)/(1-(1+$B$11/12)^(-$B$13))</f>
        <v/>
      </c>
    </row>
    <row r="21">
      <c r="A21" s="9" t="inlineStr">
        <is>
          <t>k</t>
        </is>
      </c>
      <c r="B21" s="9" t="inlineStr">
        <is>
          <t>Дата</t>
        </is>
      </c>
      <c r="C21" s="9" t="inlineStr">
        <is>
          <t>Что происходит</t>
        </is>
      </c>
      <c r="D21" s="9" t="inlineStr">
        <is>
          <t>Дней</t>
        </is>
      </c>
      <c r="E21" s="9" t="inlineStr">
        <is>
          <t>Доля года τ</t>
        </is>
      </c>
      <c r="F21" s="9" t="inlineStr">
        <is>
          <t>Остаток на отрезке B</t>
        </is>
      </c>
      <c r="G21" s="9" t="inlineStr">
        <is>
          <t>Ставка r на отрезке</t>
        </is>
      </c>
      <c r="H21" s="9" t="inlineStr">
        <is>
          <t>Начислено B·r·τ</t>
        </is>
      </c>
      <c r="I21" s="9" t="inlineStr">
        <is>
          <t>Проценты к выплате</t>
        </is>
      </c>
      <c r="J21" s="9" t="inlineStr">
        <is>
          <t>Тело</t>
        </is>
      </c>
      <c r="K21" s="9" t="inlineStr">
        <is>
          <t>Остаток после</t>
        </is>
      </c>
      <c r="L21" s="9" t="inlineStr">
        <is>
          <t>Ставка субсидии на отрезке</t>
        </is>
      </c>
      <c r="M21" s="9" t="inlineStr">
        <is>
          <t>Субсидия начислено</t>
        </is>
      </c>
      <c r="N21" s="9" t="inlineStr">
        <is>
          <t>Субсидия к выплате</t>
        </is>
      </c>
    </row>
    <row r="22">
      <c r="A22" t="n">
        <v>26</v>
      </c>
      <c r="B22" s="10">
        <f>MIN(DATE(YEAR($E$3),MONTH($E$3)+A22*$E$4,MIN($E$5,DAY(EOMONTH(DATE(YEAR($E$3),MONTH($E$3)+A22*$E$4,1),0)))),$B$6)</f>
        <v/>
      </c>
      <c r="C22" t="inlineStr">
        <is>
          <t>начало периода начисления</t>
        </is>
      </c>
      <c r="K22" s="8">
        <f>$B$7</f>
        <v/>
      </c>
    </row>
    <row r="23">
      <c r="A23" t="n">
        <v>27</v>
      </c>
      <c r="B23" s="10">
        <f>MIN(DATE(YEAR($E$3),MONTH($E$3)+A23*$E$4,MIN($E$5,DAY(EOMONTH(DATE(YEAR($E$3),MONTH($E$3)+A23*$E$4,1),0)))),$B$6)</f>
        <v/>
      </c>
      <c r="C23" t="inlineStr">
        <is>
          <t>проценты, тело</t>
        </is>
      </c>
      <c r="D23">
        <f>B23-B22</f>
        <v/>
      </c>
      <c r="E23" s="11">
        <f>IF(YEAR(B22)=YEAR(B23),(B23-B22)/(DATE(YEAR(B22)+1,1,1)-DATE(YEAR(B22),1,1)),(DATE(YEAR(B22)+1,1,1)-B22)/(DATE(YEAR(B22)+1,1,1)-DATE(YEAR(B22),1,1))+(B23-DATE(YEAR(B23),1,1))/(DATE(YEAR(B23)+1,1,1)-DATE(YEAR(B23),1,1))+YEAR(B23)-YEAR(B22)-1)</f>
        <v/>
      </c>
      <c r="F23" s="8">
        <f>K22</f>
        <v/>
      </c>
      <c r="G23" s="7">
        <f>$B$10</f>
        <v/>
      </c>
      <c r="H23" s="8">
        <f>F23*G23*E23</f>
        <v/>
      </c>
      <c r="I23" s="8">
        <f>SUM(H23:H23)</f>
        <v/>
      </c>
      <c r="J23" s="8">
        <f>$B$14-I23</f>
        <v/>
      </c>
      <c r="K23" s="8">
        <f>F23-J23</f>
        <v/>
      </c>
    </row>
    <row r="24">
      <c r="A24" t="n">
        <v>28</v>
      </c>
      <c r="B24" s="10">
        <f>MIN(DATE(YEAR($E$3),MONTH($E$3)+A24*$E$4,MIN($E$5,DAY(EOMONTH(DATE(YEAR($E$3),MONTH($E$3)+A24*$E$4,1),0)))),$B$6)</f>
        <v/>
      </c>
      <c r="C24" t="inlineStr">
        <is>
          <t>проценты, тело</t>
        </is>
      </c>
      <c r="D24">
        <f>B24-B23</f>
        <v/>
      </c>
      <c r="E24" s="11">
        <f>IF(YEAR(B23)=YEAR(B24),(B24-B23)/(DATE(YEAR(B23)+1,1,1)-DATE(YEAR(B23),1,1)),(DATE(YEAR(B23)+1,1,1)-B23)/(DATE(YEAR(B23)+1,1,1)-DATE(YEAR(B23),1,1))+(B24-DATE(YEAR(B24),1,1))/(DATE(YEAR(B24)+1,1,1)-DATE(YEAR(B24),1,1))+YEAR(B24)-YEAR(B23)-1)</f>
        <v/>
      </c>
      <c r="F24" s="8">
        <f>K23</f>
        <v/>
      </c>
      <c r="G24" s="7">
        <f>$B$10</f>
        <v/>
      </c>
      <c r="H24" s="8">
        <f>F24*G24*E24</f>
        <v/>
      </c>
      <c r="I24" s="8">
        <f>SUM(H24:H24)</f>
        <v/>
      </c>
      <c r="J24" s="8">
        <f>$B$14-I24</f>
        <v/>
      </c>
      <c r="K24" s="8">
        <f>F24-J24</f>
        <v/>
      </c>
    </row>
    <row r="25">
      <c r="A25" t="n">
        <v>29</v>
      </c>
      <c r="B25" s="10">
        <f>MIN(DATE(YEAR($E$3),MONTH($E$3)+A25*$E$4,MIN($E$5,DAY(EOMONTH(DATE(YEAR($E$3),MONTH($E$3)+A25*$E$4,1),0)))),$B$6)</f>
        <v/>
      </c>
      <c r="C25" t="inlineStr">
        <is>
          <t>проценты, тело</t>
        </is>
      </c>
      <c r="D25">
        <f>B25-B24</f>
        <v/>
      </c>
      <c r="E25" s="11">
        <f>IF(YEAR(B24)=YEAR(B25),(B25-B24)/(DATE(YEAR(B24)+1,1,1)-DATE(YEAR(B24),1,1)),(DATE(YEAR(B24)+1,1,1)-B24)/(DATE(YEAR(B24)+1,1,1)-DATE(YEAR(B24),1,1))+(B25-DATE(YEAR(B25),1,1))/(DATE(YEAR(B25)+1,1,1)-DATE(YEAR(B25),1,1))+YEAR(B25)-YEAR(B24)-1)</f>
        <v/>
      </c>
      <c r="F25" s="8">
        <f>K24</f>
        <v/>
      </c>
      <c r="G25" s="7">
        <f>$B$10</f>
        <v/>
      </c>
      <c r="H25" s="8">
        <f>F25*G25*E25</f>
        <v/>
      </c>
      <c r="I25" s="8">
        <f>SUM(H25:H25)</f>
        <v/>
      </c>
      <c r="J25" s="8">
        <f>$B$14-I25</f>
        <v/>
      </c>
      <c r="K25" s="8">
        <f>F25-J25</f>
        <v/>
      </c>
    </row>
    <row r="26">
      <c r="A26" t="n">
        <v>30</v>
      </c>
      <c r="B26" s="10">
        <f>MIN(DATE(YEAR($E$3),MONTH($E$3)+A26*$E$4,MIN($E$5,DAY(EOMONTH(DATE(YEAR($E$3),MONTH($E$3)+A26*$E$4,1),0)))),$B$6)</f>
        <v/>
      </c>
      <c r="C26" t="inlineStr">
        <is>
          <t>проценты, тело</t>
        </is>
      </c>
      <c r="D26">
        <f>B26-B25</f>
        <v/>
      </c>
      <c r="E26" s="11">
        <f>IF(YEAR(B25)=YEAR(B26),(B26-B25)/(DATE(YEAR(B25)+1,1,1)-DATE(YEAR(B25),1,1)),(DATE(YEAR(B25)+1,1,1)-B25)/(DATE(YEAR(B25)+1,1,1)-DATE(YEAR(B25),1,1))+(B26-DATE(YEAR(B26),1,1))/(DATE(YEAR(B26)+1,1,1)-DATE(YEAR(B26),1,1))+YEAR(B26)-YEAR(B25)-1)</f>
        <v/>
      </c>
      <c r="F26" s="8">
        <f>K25</f>
        <v/>
      </c>
      <c r="G26" s="7">
        <f>$B$10</f>
        <v/>
      </c>
      <c r="H26" s="8">
        <f>F26*G26*E26</f>
        <v/>
      </c>
      <c r="I26" s="8">
        <f>SUM(H26:H26)</f>
        <v/>
      </c>
      <c r="J26" s="8">
        <f>$B$14-I26</f>
        <v/>
      </c>
      <c r="K26" s="8">
        <f>F26-J26</f>
        <v/>
      </c>
    </row>
    <row r="27">
      <c r="A27" t="n">
        <v>31</v>
      </c>
      <c r="B27" s="10">
        <f>MIN(DATE(YEAR($E$3),MONTH($E$3)+A27*$E$4,MIN($E$5,DAY(EOMONTH(DATE(YEAR($E$3),MONTH($E$3)+A27*$E$4,1),0)))),$B$6)</f>
        <v/>
      </c>
      <c r="C27" t="inlineStr">
        <is>
          <t>проценты, тело</t>
        </is>
      </c>
      <c r="D27">
        <f>B27-B26</f>
        <v/>
      </c>
      <c r="E27" s="11">
        <f>IF(YEAR(B26)=YEAR(B27),(B27-B26)/(DATE(YEAR(B26)+1,1,1)-DATE(YEAR(B26),1,1)),(DATE(YEAR(B26)+1,1,1)-B26)/(DATE(YEAR(B26)+1,1,1)-DATE(YEAR(B26),1,1))+(B27-DATE(YEAR(B27),1,1))/(DATE(YEAR(B27)+1,1,1)-DATE(YEAR(B27),1,1))+YEAR(B27)-YEAR(B26)-1)</f>
        <v/>
      </c>
      <c r="F27" s="8">
        <f>K26</f>
        <v/>
      </c>
      <c r="G27" s="7">
        <f>$B$10</f>
        <v/>
      </c>
      <c r="H27" s="8">
        <f>F27*G27*E27</f>
        <v/>
      </c>
      <c r="I27" s="8">
        <f>SUM(H27:H27)</f>
        <v/>
      </c>
      <c r="J27" s="8">
        <f>$B$14-I27</f>
        <v/>
      </c>
      <c r="K27" s="8">
        <f>F27-J27</f>
        <v/>
      </c>
    </row>
    <row r="28">
      <c r="A28" t="n">
        <v>32</v>
      </c>
      <c r="B28" s="10">
        <f>MIN(DATE(YEAR($E$3),MONTH($E$3)+A28*$E$4,MIN($E$5,DAY(EOMONTH(DATE(YEAR($E$3),MONTH($E$3)+A28*$E$4,1),0)))),$B$6)</f>
        <v/>
      </c>
      <c r="C28" t="inlineStr">
        <is>
          <t>проценты, тело</t>
        </is>
      </c>
      <c r="D28">
        <f>B28-B27</f>
        <v/>
      </c>
      <c r="E28" s="11">
        <f>IF(YEAR(B27)=YEAR(B28),(B28-B27)/(DATE(YEAR(B27)+1,1,1)-DATE(YEAR(B27),1,1)),(DATE(YEAR(B27)+1,1,1)-B27)/(DATE(YEAR(B27)+1,1,1)-DATE(YEAR(B27),1,1))+(B28-DATE(YEAR(B28),1,1))/(DATE(YEAR(B28)+1,1,1)-DATE(YEAR(B28),1,1))+YEAR(B28)-YEAR(B27)-1)</f>
        <v/>
      </c>
      <c r="F28" s="8">
        <f>K27</f>
        <v/>
      </c>
      <c r="G28" s="7">
        <f>$B$10</f>
        <v/>
      </c>
      <c r="H28" s="8">
        <f>F28*G28*E28</f>
        <v/>
      </c>
      <c r="I28" s="8">
        <f>SUM(H28:H28)</f>
        <v/>
      </c>
      <c r="J28" s="8">
        <f>$B$14-I28</f>
        <v/>
      </c>
      <c r="K28" s="8">
        <f>F28-J28</f>
        <v/>
      </c>
    </row>
    <row r="29">
      <c r="A29" t="n">
        <v>33</v>
      </c>
      <c r="B29" s="10">
        <f>MIN(DATE(YEAR($E$3),MONTH($E$3)+A29*$E$4,MIN($E$5,DAY(EOMONTH(DATE(YEAR($E$3),MONTH($E$3)+A29*$E$4,1),0)))),$B$6)</f>
        <v/>
      </c>
      <c r="C29" t="inlineStr">
        <is>
          <t>проценты, тело</t>
        </is>
      </c>
      <c r="D29">
        <f>B29-B28</f>
        <v/>
      </c>
      <c r="E29" s="11">
        <f>IF(YEAR(B28)=YEAR(B29),(B29-B28)/(DATE(YEAR(B28)+1,1,1)-DATE(YEAR(B28),1,1)),(DATE(YEAR(B28)+1,1,1)-B28)/(DATE(YEAR(B28)+1,1,1)-DATE(YEAR(B28),1,1))+(B29-DATE(YEAR(B29),1,1))/(DATE(YEAR(B29)+1,1,1)-DATE(YEAR(B29),1,1))+YEAR(B29)-YEAR(B28)-1)</f>
        <v/>
      </c>
      <c r="F29" s="8">
        <f>K28</f>
        <v/>
      </c>
      <c r="G29" s="7">
        <f>$B$10</f>
        <v/>
      </c>
      <c r="H29" s="8">
        <f>F29*G29*E29</f>
        <v/>
      </c>
      <c r="I29" s="8">
        <f>SUM(H29:H29)</f>
        <v/>
      </c>
      <c r="J29" s="8">
        <f>$B$14-I29</f>
        <v/>
      </c>
      <c r="K29" s="8">
        <f>F29-J29</f>
        <v/>
      </c>
    </row>
    <row r="30">
      <c r="A30" t="n">
        <v>34</v>
      </c>
      <c r="B30" s="10">
        <f>MIN(DATE(YEAR($E$3),MONTH($E$3)+A30*$E$4,MIN($E$5,DAY(EOMONTH(DATE(YEAR($E$3),MONTH($E$3)+A30*$E$4,1),0)))),$B$6)</f>
        <v/>
      </c>
      <c r="C30" t="inlineStr">
        <is>
          <t>проценты, тело</t>
        </is>
      </c>
      <c r="D30">
        <f>B30-B29</f>
        <v/>
      </c>
      <c r="E30" s="11">
        <f>IF(YEAR(B29)=YEAR(B30),(B30-B29)/(DATE(YEAR(B29)+1,1,1)-DATE(YEAR(B29),1,1)),(DATE(YEAR(B29)+1,1,1)-B29)/(DATE(YEAR(B29)+1,1,1)-DATE(YEAR(B29),1,1))+(B30-DATE(YEAR(B30),1,1))/(DATE(YEAR(B30)+1,1,1)-DATE(YEAR(B30),1,1))+YEAR(B30)-YEAR(B29)-1)</f>
        <v/>
      </c>
      <c r="F30" s="8">
        <f>K29</f>
        <v/>
      </c>
      <c r="G30" s="7">
        <f>$B$10</f>
        <v/>
      </c>
      <c r="H30" s="8">
        <f>F30*G30*E30</f>
        <v/>
      </c>
      <c r="I30" s="8">
        <f>SUM(H30:H30)</f>
        <v/>
      </c>
      <c r="J30" s="8">
        <f>$B$14-I30</f>
        <v/>
      </c>
      <c r="K30" s="8">
        <f>F30-J30</f>
        <v/>
      </c>
    </row>
    <row r="31">
      <c r="A31" t="n">
        <v>35</v>
      </c>
      <c r="B31" s="10">
        <f>MIN(DATE(YEAR($E$3),MONTH($E$3)+A31*$E$4,MIN($E$5,DAY(EOMONTH(DATE(YEAR($E$3),MONTH($E$3)+A31*$E$4,1),0)))),$B$6)</f>
        <v/>
      </c>
      <c r="C31" t="inlineStr">
        <is>
          <t>проценты, тело</t>
        </is>
      </c>
      <c r="D31">
        <f>B31-B30</f>
        <v/>
      </c>
      <c r="E31" s="11">
        <f>IF(YEAR(B30)=YEAR(B31),(B31-B30)/(DATE(YEAR(B30)+1,1,1)-DATE(YEAR(B30),1,1)),(DATE(YEAR(B30)+1,1,1)-B30)/(DATE(YEAR(B30)+1,1,1)-DATE(YEAR(B30),1,1))+(B31-DATE(YEAR(B31),1,1))/(DATE(YEAR(B31)+1,1,1)-DATE(YEAR(B31),1,1))+YEAR(B31)-YEAR(B30)-1)</f>
        <v/>
      </c>
      <c r="F31" s="8">
        <f>K30</f>
        <v/>
      </c>
      <c r="G31" s="7">
        <f>$B$10</f>
        <v/>
      </c>
      <c r="H31" s="8">
        <f>F31*G31*E31</f>
        <v/>
      </c>
      <c r="I31" s="8">
        <f>SUM(H31:H31)</f>
        <v/>
      </c>
      <c r="J31" s="8">
        <f>$B$14-I31</f>
        <v/>
      </c>
      <c r="K31" s="8">
        <f>F31-J31</f>
        <v/>
      </c>
    </row>
    <row r="32">
      <c r="A32" t="n">
        <v>36</v>
      </c>
      <c r="B32" s="10">
        <f>MIN(DATE(YEAR($E$3),MONTH($E$3)+A32*$E$4,MIN($E$5,DAY(EOMONTH(DATE(YEAR($E$3),MONTH($E$3)+A32*$E$4,1),0)))),$B$6)</f>
        <v/>
      </c>
      <c r="C32" t="inlineStr">
        <is>
          <t>проценты, тело</t>
        </is>
      </c>
      <c r="D32">
        <f>B32-B31</f>
        <v/>
      </c>
      <c r="E32" s="11">
        <f>IF(YEAR(B31)=YEAR(B32),(B32-B31)/(DATE(YEAR(B31)+1,1,1)-DATE(YEAR(B31),1,1)),(DATE(YEAR(B31)+1,1,1)-B31)/(DATE(YEAR(B31)+1,1,1)-DATE(YEAR(B31),1,1))+(B32-DATE(YEAR(B32),1,1))/(DATE(YEAR(B32)+1,1,1)-DATE(YEAR(B32),1,1))+YEAR(B32)-YEAR(B31)-1)</f>
        <v/>
      </c>
      <c r="F32" s="8">
        <f>K31</f>
        <v/>
      </c>
      <c r="G32" s="7">
        <f>$B$10</f>
        <v/>
      </c>
      <c r="H32" s="8">
        <f>F32*G32*E32</f>
        <v/>
      </c>
      <c r="I32" s="8">
        <f>SUM(H32:H32)</f>
        <v/>
      </c>
      <c r="J32" s="8">
        <f>$B$14-I32</f>
        <v/>
      </c>
      <c r="K32" s="8">
        <f>F32-J32</f>
        <v/>
      </c>
    </row>
    <row r="33">
      <c r="A33" t="n">
        <v>37</v>
      </c>
      <c r="B33" s="10">
        <f>MIN(DATE(YEAR($E$3),MONTH($E$3)+A33*$E$4,MIN($E$5,DAY(EOMONTH(DATE(YEAR($E$3),MONTH($E$3)+A33*$E$4,1),0)))),$B$6)</f>
        <v/>
      </c>
      <c r="C33" t="inlineStr">
        <is>
          <t>проценты, тело</t>
        </is>
      </c>
      <c r="D33">
        <f>B33-B32</f>
        <v/>
      </c>
      <c r="E33" s="11">
        <f>IF(YEAR(B32)=YEAR(B33),(B33-B32)/(DATE(YEAR(B32)+1,1,1)-DATE(YEAR(B32),1,1)),(DATE(YEAR(B32)+1,1,1)-B32)/(DATE(YEAR(B32)+1,1,1)-DATE(YEAR(B32),1,1))+(B33-DATE(YEAR(B33),1,1))/(DATE(YEAR(B33)+1,1,1)-DATE(YEAR(B33),1,1))+YEAR(B33)-YEAR(B32)-1)</f>
        <v/>
      </c>
      <c r="F33" s="8">
        <f>K32</f>
        <v/>
      </c>
      <c r="G33" s="7">
        <f>$B$10</f>
        <v/>
      </c>
      <c r="H33" s="8">
        <f>F33*G33*E33</f>
        <v/>
      </c>
      <c r="I33" s="8">
        <f>SUM(H33:H33)</f>
        <v/>
      </c>
      <c r="J33" s="8">
        <f>$B$14-I33</f>
        <v/>
      </c>
      <c r="K33" s="8">
        <f>F33-J33</f>
        <v/>
      </c>
    </row>
    <row r="34">
      <c r="A34" t="n">
        <v>38</v>
      </c>
      <c r="B34" s="10">
        <f>MIN(DATE(YEAR($E$3),MONTH($E$3)+A34*$E$4,MIN($E$5,DAY(EOMONTH(DATE(YEAR($E$3),MONTH($E$3)+A34*$E$4,1),0)))),$B$6)</f>
        <v/>
      </c>
      <c r="C34" t="inlineStr">
        <is>
          <t>проценты, тело</t>
        </is>
      </c>
      <c r="D34">
        <f>B34-B33</f>
        <v/>
      </c>
      <c r="E34" s="11">
        <f>IF(YEAR(B33)=YEAR(B34),(B34-B33)/(DATE(YEAR(B33)+1,1,1)-DATE(YEAR(B33),1,1)),(DATE(YEAR(B33)+1,1,1)-B33)/(DATE(YEAR(B33)+1,1,1)-DATE(YEAR(B33),1,1))+(B34-DATE(YEAR(B34),1,1))/(DATE(YEAR(B34)+1,1,1)-DATE(YEAR(B34),1,1))+YEAR(B34)-YEAR(B33)-1)</f>
        <v/>
      </c>
      <c r="F34" s="8">
        <f>K33</f>
        <v/>
      </c>
      <c r="G34" s="7">
        <f>$B$10</f>
        <v/>
      </c>
      <c r="H34" s="8">
        <f>F34*G34*E34</f>
        <v/>
      </c>
      <c r="I34" s="8">
        <f>SUM(H34:H34)</f>
        <v/>
      </c>
      <c r="J34" s="8">
        <f>$B$14-I34</f>
        <v/>
      </c>
      <c r="K34" s="8">
        <f>F34-J34</f>
        <v/>
      </c>
    </row>
    <row r="35">
      <c r="A35" t="n">
        <v>39</v>
      </c>
      <c r="B35" s="10">
        <f>MIN(DATE(YEAR($E$3),MONTH($E$3)+A35*$E$4,MIN($E$5,DAY(EOMONTH(DATE(YEAR($E$3),MONTH($E$3)+A35*$E$4,1),0)))),$B$6)</f>
        <v/>
      </c>
      <c r="C35" t="inlineStr">
        <is>
          <t>проценты, тело</t>
        </is>
      </c>
      <c r="D35">
        <f>B35-B34</f>
        <v/>
      </c>
      <c r="E35" s="11">
        <f>IF(YEAR(B34)=YEAR(B35),(B35-B34)/(DATE(YEAR(B34)+1,1,1)-DATE(YEAR(B34),1,1)),(DATE(YEAR(B34)+1,1,1)-B34)/(DATE(YEAR(B34)+1,1,1)-DATE(YEAR(B34),1,1))+(B35-DATE(YEAR(B35),1,1))/(DATE(YEAR(B35)+1,1,1)-DATE(YEAR(B35),1,1))+YEAR(B35)-YEAR(B34)-1)</f>
        <v/>
      </c>
      <c r="F35" s="8">
        <f>K34</f>
        <v/>
      </c>
      <c r="G35" s="7">
        <f>$B$10</f>
        <v/>
      </c>
      <c r="H35" s="8">
        <f>F35*G35*E35</f>
        <v/>
      </c>
      <c r="I35" s="8">
        <f>SUM(H35:H35)</f>
        <v/>
      </c>
      <c r="J35" s="8">
        <f>$B$14-I35</f>
        <v/>
      </c>
      <c r="K35" s="8">
        <f>F35-J35</f>
        <v/>
      </c>
    </row>
    <row r="36">
      <c r="A36" t="n">
        <v>40</v>
      </c>
      <c r="B36" s="10">
        <f>MIN(DATE(YEAR($E$3),MONTH($E$3)+A36*$E$4,MIN($E$5,DAY(EOMONTH(DATE(YEAR($E$3),MONTH($E$3)+A36*$E$4,1),0)))),$B$6)</f>
        <v/>
      </c>
      <c r="C36" t="inlineStr">
        <is>
          <t>проценты, тело</t>
        </is>
      </c>
      <c r="D36">
        <f>B36-B35</f>
        <v/>
      </c>
      <c r="E36" s="11">
        <f>IF(YEAR(B35)=YEAR(B36),(B36-B35)/(DATE(YEAR(B35)+1,1,1)-DATE(YEAR(B35),1,1)),(DATE(YEAR(B35)+1,1,1)-B35)/(DATE(YEAR(B35)+1,1,1)-DATE(YEAR(B35),1,1))+(B36-DATE(YEAR(B36),1,1))/(DATE(YEAR(B36)+1,1,1)-DATE(YEAR(B36),1,1))+YEAR(B36)-YEAR(B35)-1)</f>
        <v/>
      </c>
      <c r="F36" s="8">
        <f>K35</f>
        <v/>
      </c>
      <c r="G36" s="7">
        <f>$B$10</f>
        <v/>
      </c>
      <c r="H36" s="8">
        <f>F36*G36*E36</f>
        <v/>
      </c>
      <c r="I36" s="8">
        <f>SUM(H36:H36)</f>
        <v/>
      </c>
      <c r="J36" s="8">
        <f>$B$14-I36</f>
        <v/>
      </c>
      <c r="K36" s="8">
        <f>F36-J36</f>
        <v/>
      </c>
    </row>
    <row r="37">
      <c r="A37" t="n">
        <v>41</v>
      </c>
      <c r="B37" s="10">
        <f>MIN(DATE(YEAR($E$3),MONTH($E$3)+A37*$E$4,MIN($E$5,DAY(EOMONTH(DATE(YEAR($E$3),MONTH($E$3)+A37*$E$4,1),0)))),$B$6)</f>
        <v/>
      </c>
      <c r="C37" t="inlineStr">
        <is>
          <t>проценты, тело</t>
        </is>
      </c>
      <c r="D37">
        <f>B37-B36</f>
        <v/>
      </c>
      <c r="E37" s="11">
        <f>IF(YEAR(B36)=YEAR(B37),(B37-B36)/(DATE(YEAR(B36)+1,1,1)-DATE(YEAR(B36),1,1)),(DATE(YEAR(B36)+1,1,1)-B36)/(DATE(YEAR(B36)+1,1,1)-DATE(YEAR(B36),1,1))+(B37-DATE(YEAR(B37),1,1))/(DATE(YEAR(B37)+1,1,1)-DATE(YEAR(B37),1,1))+YEAR(B37)-YEAR(B36)-1)</f>
        <v/>
      </c>
      <c r="F37" s="8">
        <f>K36</f>
        <v/>
      </c>
      <c r="G37" s="7">
        <f>$B$10</f>
        <v/>
      </c>
      <c r="H37" s="8">
        <f>F37*G37*E37</f>
        <v/>
      </c>
      <c r="I37" s="8">
        <f>SUM(H37:H37)</f>
        <v/>
      </c>
      <c r="J37" s="8">
        <f>$B$14-I37</f>
        <v/>
      </c>
      <c r="K37" s="8">
        <f>F37-J37</f>
        <v/>
      </c>
    </row>
    <row r="38">
      <c r="A38" t="n">
        <v>42</v>
      </c>
      <c r="B38" s="10">
        <f>MIN(DATE(YEAR($E$3),MONTH($E$3)+A38*$E$4,MIN($E$5,DAY(EOMONTH(DATE(YEAR($E$3),MONTH($E$3)+A38*$E$4,1),0)))),$B$6)</f>
        <v/>
      </c>
      <c r="C38" t="inlineStr">
        <is>
          <t>проценты, тело</t>
        </is>
      </c>
      <c r="D38">
        <f>B38-B37</f>
        <v/>
      </c>
      <c r="E38" s="11">
        <f>IF(YEAR(B37)=YEAR(B38),(B38-B37)/(DATE(YEAR(B37)+1,1,1)-DATE(YEAR(B37),1,1)),(DATE(YEAR(B37)+1,1,1)-B37)/(DATE(YEAR(B37)+1,1,1)-DATE(YEAR(B37),1,1))+(B38-DATE(YEAR(B38),1,1))/(DATE(YEAR(B38)+1,1,1)-DATE(YEAR(B38),1,1))+YEAR(B38)-YEAR(B37)-1)</f>
        <v/>
      </c>
      <c r="F38" s="8">
        <f>K37</f>
        <v/>
      </c>
      <c r="G38" s="7">
        <f>$B$10</f>
        <v/>
      </c>
      <c r="H38" s="8">
        <f>F38*G38*E38</f>
        <v/>
      </c>
      <c r="I38" s="8">
        <f>SUM(H38:H38)</f>
        <v/>
      </c>
      <c r="J38" s="8">
        <f>$B$14-I38</f>
        <v/>
      </c>
      <c r="K38" s="8">
        <f>F38-J38</f>
        <v/>
      </c>
    </row>
    <row r="39">
      <c r="A39" t="n">
        <v>43</v>
      </c>
      <c r="B39" s="10">
        <f>MIN(DATE(YEAR($E$3),MONTH($E$3)+A39*$E$4,MIN($E$5,DAY(EOMONTH(DATE(YEAR($E$3),MONTH($E$3)+A39*$E$4,1),0)))),$B$6)</f>
        <v/>
      </c>
      <c r="C39" t="inlineStr">
        <is>
          <t>проценты, тело</t>
        </is>
      </c>
      <c r="D39">
        <f>B39-B38</f>
        <v/>
      </c>
      <c r="E39" s="11">
        <f>IF(YEAR(B38)=YEAR(B39),(B39-B38)/(DATE(YEAR(B38)+1,1,1)-DATE(YEAR(B38),1,1)),(DATE(YEAR(B38)+1,1,1)-B38)/(DATE(YEAR(B38)+1,1,1)-DATE(YEAR(B38),1,1))+(B39-DATE(YEAR(B39),1,1))/(DATE(YEAR(B39)+1,1,1)-DATE(YEAR(B39),1,1))+YEAR(B39)-YEAR(B38)-1)</f>
        <v/>
      </c>
      <c r="F39" s="8">
        <f>K38</f>
        <v/>
      </c>
      <c r="G39" s="7">
        <f>$B$10</f>
        <v/>
      </c>
      <c r="H39" s="8">
        <f>F39*G39*E39</f>
        <v/>
      </c>
      <c r="I39" s="8">
        <f>SUM(H39:H39)</f>
        <v/>
      </c>
      <c r="J39" s="8">
        <f>$B$14-I39</f>
        <v/>
      </c>
      <c r="K39" s="8">
        <f>F39-J39</f>
        <v/>
      </c>
    </row>
    <row r="40">
      <c r="A40" t="n">
        <v>44</v>
      </c>
      <c r="B40" s="10">
        <f>MIN(DATE(YEAR($E$3),MONTH($E$3)+A40*$E$4,MIN($E$5,DAY(EOMONTH(DATE(YEAR($E$3),MONTH($E$3)+A40*$E$4,1),0)))),$B$6)</f>
        <v/>
      </c>
      <c r="C40" t="inlineStr">
        <is>
          <t>проценты, тело</t>
        </is>
      </c>
      <c r="D40">
        <f>B40-B39</f>
        <v/>
      </c>
      <c r="E40" s="11">
        <f>IF(YEAR(B39)=YEAR(B40),(B40-B39)/(DATE(YEAR(B39)+1,1,1)-DATE(YEAR(B39),1,1)),(DATE(YEAR(B39)+1,1,1)-B39)/(DATE(YEAR(B39)+1,1,1)-DATE(YEAR(B39),1,1))+(B40-DATE(YEAR(B40),1,1))/(DATE(YEAR(B40)+1,1,1)-DATE(YEAR(B40),1,1))+YEAR(B40)-YEAR(B39)-1)</f>
        <v/>
      </c>
      <c r="F40" s="8">
        <f>K39</f>
        <v/>
      </c>
      <c r="G40" s="7">
        <f>$B$10</f>
        <v/>
      </c>
      <c r="H40" s="8">
        <f>F40*G40*E40</f>
        <v/>
      </c>
      <c r="I40" s="8">
        <f>SUM(H40:H40)</f>
        <v/>
      </c>
      <c r="J40" s="8">
        <f>$B$14-I40</f>
        <v/>
      </c>
      <c r="K40" s="8">
        <f>F40-J40</f>
        <v/>
      </c>
    </row>
    <row r="41">
      <c r="A41" t="n">
        <v>45</v>
      </c>
      <c r="B41" s="10">
        <f>MIN(DATE(YEAR($E$3),MONTH($E$3)+A41*$E$4,MIN($E$5,DAY(EOMONTH(DATE(YEAR($E$3),MONTH($E$3)+A41*$E$4,1),0)))),$B$6)</f>
        <v/>
      </c>
      <c r="C41" t="inlineStr">
        <is>
          <t>проценты, тело</t>
        </is>
      </c>
      <c r="D41">
        <f>B41-B40</f>
        <v/>
      </c>
      <c r="E41" s="11">
        <f>IF(YEAR(B40)=YEAR(B41),(B41-B40)/(DATE(YEAR(B40)+1,1,1)-DATE(YEAR(B40),1,1)),(DATE(YEAR(B40)+1,1,1)-B40)/(DATE(YEAR(B40)+1,1,1)-DATE(YEAR(B40),1,1))+(B41-DATE(YEAR(B41),1,1))/(DATE(YEAR(B41)+1,1,1)-DATE(YEAR(B41),1,1))+YEAR(B41)-YEAR(B40)-1)</f>
        <v/>
      </c>
      <c r="F41" s="8">
        <f>K40</f>
        <v/>
      </c>
      <c r="G41" s="7">
        <f>$B$10</f>
        <v/>
      </c>
      <c r="H41" s="8">
        <f>F41*G41*E41</f>
        <v/>
      </c>
      <c r="I41" s="8">
        <f>SUM(H41:H41)</f>
        <v/>
      </c>
      <c r="J41" s="8">
        <f>$B$14-I41</f>
        <v/>
      </c>
      <c r="K41" s="8">
        <f>F41-J41</f>
        <v/>
      </c>
    </row>
    <row r="42">
      <c r="A42" t="n">
        <v>46</v>
      </c>
      <c r="B42" s="10">
        <f>MIN(DATE(YEAR($E$3),MONTH($E$3)+A42*$E$4,MIN($E$5,DAY(EOMONTH(DATE(YEAR($E$3),MONTH($E$3)+A42*$E$4,1),0)))),$B$6)</f>
        <v/>
      </c>
      <c r="C42" t="inlineStr">
        <is>
          <t>проценты, тело</t>
        </is>
      </c>
      <c r="D42">
        <f>B42-B41</f>
        <v/>
      </c>
      <c r="E42" s="11">
        <f>IF(YEAR(B41)=YEAR(B42),(B42-B41)/(DATE(YEAR(B41)+1,1,1)-DATE(YEAR(B41),1,1)),(DATE(YEAR(B41)+1,1,1)-B41)/(DATE(YEAR(B41)+1,1,1)-DATE(YEAR(B41),1,1))+(B42-DATE(YEAR(B42),1,1))/(DATE(YEAR(B42)+1,1,1)-DATE(YEAR(B42),1,1))+YEAR(B42)-YEAR(B41)-1)</f>
        <v/>
      </c>
      <c r="F42" s="8">
        <f>K41</f>
        <v/>
      </c>
      <c r="G42" s="7">
        <f>$B$10</f>
        <v/>
      </c>
      <c r="H42" s="8">
        <f>F42*G42*E42</f>
        <v/>
      </c>
      <c r="I42" s="8">
        <f>SUM(H42:H42)</f>
        <v/>
      </c>
      <c r="J42" s="8">
        <f>$B$14-I42</f>
        <v/>
      </c>
      <c r="K42" s="8">
        <f>F42-J42</f>
        <v/>
      </c>
    </row>
    <row r="43">
      <c r="A43" t="n">
        <v>47</v>
      </c>
      <c r="B43" s="10">
        <f>MIN(DATE(YEAR($E$3),MONTH($E$3)+A43*$E$4,MIN($E$5,DAY(EOMONTH(DATE(YEAR($E$3),MONTH($E$3)+A43*$E$4,1),0)))),$B$6)</f>
        <v/>
      </c>
      <c r="C43" t="inlineStr">
        <is>
          <t>проценты, тело</t>
        </is>
      </c>
      <c r="D43">
        <f>B43-B42</f>
        <v/>
      </c>
      <c r="E43" s="11">
        <f>IF(YEAR(B42)=YEAR(B43),(B43-B42)/(DATE(YEAR(B42)+1,1,1)-DATE(YEAR(B42),1,1)),(DATE(YEAR(B42)+1,1,1)-B42)/(DATE(YEAR(B42)+1,1,1)-DATE(YEAR(B42),1,1))+(B43-DATE(YEAR(B43),1,1))/(DATE(YEAR(B43)+1,1,1)-DATE(YEAR(B43),1,1))+YEAR(B43)-YEAR(B42)-1)</f>
        <v/>
      </c>
      <c r="F43" s="8">
        <f>K42</f>
        <v/>
      </c>
      <c r="G43" s="7">
        <f>$B$10</f>
        <v/>
      </c>
      <c r="H43" s="8">
        <f>F43*G43*E43</f>
        <v/>
      </c>
      <c r="I43" s="8">
        <f>SUM(H43:H43)</f>
        <v/>
      </c>
      <c r="J43" s="8">
        <f>$B$14-I43</f>
        <v/>
      </c>
      <c r="K43" s="8">
        <f>F43-J43</f>
        <v/>
      </c>
    </row>
    <row r="44">
      <c r="A44" t="n">
        <v>48</v>
      </c>
      <c r="B44" s="10">
        <f>MIN(DATE(YEAR($E$3),MONTH($E$3)+A44*$E$4,MIN($E$5,DAY(EOMONTH(DATE(YEAR($E$3),MONTH($E$3)+A44*$E$4,1),0)))),$B$6)</f>
        <v/>
      </c>
      <c r="C44" t="inlineStr">
        <is>
          <t>проценты, тело</t>
        </is>
      </c>
      <c r="D44">
        <f>B44-B43</f>
        <v/>
      </c>
      <c r="E44" s="11">
        <f>IF(YEAR(B43)=YEAR(B44),(B44-B43)/(DATE(YEAR(B43)+1,1,1)-DATE(YEAR(B43),1,1)),(DATE(YEAR(B43)+1,1,1)-B43)/(DATE(YEAR(B43)+1,1,1)-DATE(YEAR(B43),1,1))+(B44-DATE(YEAR(B44),1,1))/(DATE(YEAR(B44)+1,1,1)-DATE(YEAR(B44),1,1))+YEAR(B44)-YEAR(B43)-1)</f>
        <v/>
      </c>
      <c r="F44" s="8">
        <f>K43</f>
        <v/>
      </c>
      <c r="G44" s="7">
        <f>$B$10</f>
        <v/>
      </c>
      <c r="H44" s="8">
        <f>F44*G44*E44</f>
        <v/>
      </c>
      <c r="I44" s="8">
        <f>SUM(H44:H44)</f>
        <v/>
      </c>
      <c r="J44" s="8">
        <f>$B$14-I44</f>
        <v/>
      </c>
      <c r="K44" s="8">
        <f>F44-J44</f>
        <v/>
      </c>
    </row>
    <row r="45">
      <c r="A45" t="n">
        <v>49</v>
      </c>
      <c r="B45" s="10">
        <f>MIN(DATE(YEAR($E$3),MONTH($E$3)+A45*$E$4,MIN($E$5,DAY(EOMONTH(DATE(YEAR($E$3),MONTH($E$3)+A45*$E$4,1),0)))),$B$6)</f>
        <v/>
      </c>
      <c r="C45" t="inlineStr">
        <is>
          <t>проценты, тело</t>
        </is>
      </c>
      <c r="D45">
        <f>B45-B44</f>
        <v/>
      </c>
      <c r="E45" s="11">
        <f>IF(YEAR(B44)=YEAR(B45),(B45-B44)/(DATE(YEAR(B44)+1,1,1)-DATE(YEAR(B44),1,1)),(DATE(YEAR(B44)+1,1,1)-B44)/(DATE(YEAR(B44)+1,1,1)-DATE(YEAR(B44),1,1))+(B45-DATE(YEAR(B45),1,1))/(DATE(YEAR(B45)+1,1,1)-DATE(YEAR(B45),1,1))+YEAR(B45)-YEAR(B44)-1)</f>
        <v/>
      </c>
      <c r="F45" s="8">
        <f>K44</f>
        <v/>
      </c>
      <c r="G45" s="7">
        <f>$B$10</f>
        <v/>
      </c>
      <c r="H45" s="8">
        <f>F45*G45*E45</f>
        <v/>
      </c>
      <c r="I45" s="8">
        <f>SUM(H45:H45)</f>
        <v/>
      </c>
      <c r="J45" s="8">
        <f>$B$14-I45</f>
        <v/>
      </c>
      <c r="K45" s="8">
        <f>F45-J45</f>
        <v/>
      </c>
    </row>
    <row r="46">
      <c r="A46" t="n">
        <v>50</v>
      </c>
      <c r="B46" s="10">
        <f>MIN(DATE(YEAR($E$3),MONTH($E$3)+A46*$E$4,MIN($E$5,DAY(EOMONTH(DATE(YEAR($E$3),MONTH($E$3)+A46*$E$4,1),0)))),$B$6)</f>
        <v/>
      </c>
      <c r="C46" t="inlineStr">
        <is>
          <t>проценты, тело</t>
        </is>
      </c>
      <c r="D46">
        <f>B46-B45</f>
        <v/>
      </c>
      <c r="E46" s="11">
        <f>IF(YEAR(B45)=YEAR(B46),(B46-B45)/(DATE(YEAR(B45)+1,1,1)-DATE(YEAR(B45),1,1)),(DATE(YEAR(B45)+1,1,1)-B45)/(DATE(YEAR(B45)+1,1,1)-DATE(YEAR(B45),1,1))+(B46-DATE(YEAR(B46),1,1))/(DATE(YEAR(B46)+1,1,1)-DATE(YEAR(B46),1,1))+YEAR(B46)-YEAR(B45)-1)</f>
        <v/>
      </c>
      <c r="F46" s="8">
        <f>K45</f>
        <v/>
      </c>
      <c r="G46" s="7">
        <f>$B$10</f>
        <v/>
      </c>
      <c r="H46" s="8">
        <f>F46*G46*E46</f>
        <v/>
      </c>
      <c r="I46" s="8">
        <f>SUM(H46:H46)</f>
        <v/>
      </c>
      <c r="J46" s="8">
        <f>$B$14-I46</f>
        <v/>
      </c>
      <c r="K46" s="8">
        <f>F46-J46</f>
        <v/>
      </c>
    </row>
    <row r="47">
      <c r="A47" t="n">
        <v>51</v>
      </c>
      <c r="B47" s="10">
        <f>MIN(DATE(YEAR($E$3),MONTH($E$3)+A47*$E$4,MIN($E$5,DAY(EOMONTH(DATE(YEAR($E$3),MONTH($E$3)+A47*$E$4,1),0)))),$B$6)</f>
        <v/>
      </c>
      <c r="C47" t="inlineStr">
        <is>
          <t>проценты, тело</t>
        </is>
      </c>
      <c r="D47">
        <f>B47-B46</f>
        <v/>
      </c>
      <c r="E47" s="11">
        <f>IF(YEAR(B46)=YEAR(B47),(B47-B46)/(DATE(YEAR(B46)+1,1,1)-DATE(YEAR(B46),1,1)),(DATE(YEAR(B46)+1,1,1)-B46)/(DATE(YEAR(B46)+1,1,1)-DATE(YEAR(B46),1,1))+(B47-DATE(YEAR(B47),1,1))/(DATE(YEAR(B47)+1,1,1)-DATE(YEAR(B47),1,1))+YEAR(B47)-YEAR(B46)-1)</f>
        <v/>
      </c>
      <c r="F47" s="8">
        <f>K46</f>
        <v/>
      </c>
      <c r="G47" s="7">
        <f>$B$10</f>
        <v/>
      </c>
      <c r="H47" s="8">
        <f>F47*G47*E47</f>
        <v/>
      </c>
      <c r="I47" s="8">
        <f>SUM(H47:H47)</f>
        <v/>
      </c>
      <c r="J47" s="8">
        <f>$B$14-I47</f>
        <v/>
      </c>
      <c r="K47" s="8">
        <f>F47-J47</f>
        <v/>
      </c>
    </row>
    <row r="48">
      <c r="A48" t="n">
        <v>52</v>
      </c>
      <c r="B48" s="10">
        <f>MIN(DATE(YEAR($E$3),MONTH($E$3)+A48*$E$4,MIN($E$5,DAY(EOMONTH(DATE(YEAR($E$3),MONTH($E$3)+A48*$E$4,1),0)))),$B$6)</f>
        <v/>
      </c>
      <c r="C48" t="inlineStr">
        <is>
          <t>проценты, тело</t>
        </is>
      </c>
      <c r="D48">
        <f>B48-B47</f>
        <v/>
      </c>
      <c r="E48" s="11">
        <f>IF(YEAR(B47)=YEAR(B48),(B48-B47)/(DATE(YEAR(B47)+1,1,1)-DATE(YEAR(B47),1,1)),(DATE(YEAR(B47)+1,1,1)-B47)/(DATE(YEAR(B47)+1,1,1)-DATE(YEAR(B47),1,1))+(B48-DATE(YEAR(B48),1,1))/(DATE(YEAR(B48)+1,1,1)-DATE(YEAR(B48),1,1))+YEAR(B48)-YEAR(B47)-1)</f>
        <v/>
      </c>
      <c r="F48" s="8">
        <f>K47</f>
        <v/>
      </c>
      <c r="G48" s="7">
        <f>$B$10</f>
        <v/>
      </c>
      <c r="H48" s="8">
        <f>F48*G48*E48</f>
        <v/>
      </c>
      <c r="I48" s="8">
        <f>SUM(H48:H48)</f>
        <v/>
      </c>
      <c r="J48" s="8">
        <f>$B$14-I48</f>
        <v/>
      </c>
      <c r="K48" s="8">
        <f>F48-J48</f>
        <v/>
      </c>
    </row>
    <row r="49">
      <c r="A49" t="n">
        <v>53</v>
      </c>
      <c r="B49" s="10">
        <f>MIN(DATE(YEAR($E$3),MONTH($E$3)+A49*$E$4,MIN($E$5,DAY(EOMONTH(DATE(YEAR($E$3),MONTH($E$3)+A49*$E$4,1),0)))),$B$6)</f>
        <v/>
      </c>
      <c r="C49" t="inlineStr">
        <is>
          <t>проценты, тело</t>
        </is>
      </c>
      <c r="D49">
        <f>B49-B48</f>
        <v/>
      </c>
      <c r="E49" s="11">
        <f>IF(YEAR(B48)=YEAR(B49),(B49-B48)/(DATE(YEAR(B48)+1,1,1)-DATE(YEAR(B48),1,1)),(DATE(YEAR(B48)+1,1,1)-B48)/(DATE(YEAR(B48)+1,1,1)-DATE(YEAR(B48),1,1))+(B49-DATE(YEAR(B49),1,1))/(DATE(YEAR(B49)+1,1,1)-DATE(YEAR(B49),1,1))+YEAR(B49)-YEAR(B48)-1)</f>
        <v/>
      </c>
      <c r="F49" s="8">
        <f>K48</f>
        <v/>
      </c>
      <c r="G49" s="7">
        <f>$B$10</f>
        <v/>
      </c>
      <c r="H49" s="8">
        <f>F49*G49*E49</f>
        <v/>
      </c>
      <c r="I49" s="8">
        <f>SUM(H49:H49)</f>
        <v/>
      </c>
      <c r="J49" s="8">
        <f>$B$14-I49</f>
        <v/>
      </c>
      <c r="K49" s="8">
        <f>F49-J49</f>
        <v/>
      </c>
    </row>
    <row r="50">
      <c r="A50" t="n">
        <v>54</v>
      </c>
      <c r="B50" s="10">
        <f>MIN(DATE(YEAR($E$3),MONTH($E$3)+A50*$E$4,MIN($E$5,DAY(EOMONTH(DATE(YEAR($E$3),MONTH($E$3)+A50*$E$4,1),0)))),$B$6)</f>
        <v/>
      </c>
      <c r="C50" t="inlineStr">
        <is>
          <t>проценты, тело</t>
        </is>
      </c>
      <c r="D50">
        <f>B50-B49</f>
        <v/>
      </c>
      <c r="E50" s="11">
        <f>IF(YEAR(B49)=YEAR(B50),(B50-B49)/(DATE(YEAR(B49)+1,1,1)-DATE(YEAR(B49),1,1)),(DATE(YEAR(B49)+1,1,1)-B49)/(DATE(YEAR(B49)+1,1,1)-DATE(YEAR(B49),1,1))+(B50-DATE(YEAR(B50),1,1))/(DATE(YEAR(B50)+1,1,1)-DATE(YEAR(B50),1,1))+YEAR(B50)-YEAR(B49)-1)</f>
        <v/>
      </c>
      <c r="F50" s="8">
        <f>K49</f>
        <v/>
      </c>
      <c r="G50" s="7">
        <f>$B$10</f>
        <v/>
      </c>
      <c r="H50" s="8">
        <f>F50*G50*E50</f>
        <v/>
      </c>
      <c r="I50" s="8">
        <f>SUM(H50:H50)</f>
        <v/>
      </c>
      <c r="J50" s="8">
        <f>$B$14-I50</f>
        <v/>
      </c>
      <c r="K50" s="8">
        <f>F50-J50</f>
        <v/>
      </c>
    </row>
    <row r="51">
      <c r="A51" t="n">
        <v>55</v>
      </c>
      <c r="B51" s="10">
        <f>MIN(DATE(YEAR($E$3),MONTH($E$3)+A51*$E$4,MIN($E$5,DAY(EOMONTH(DATE(YEAR($E$3),MONTH($E$3)+A51*$E$4,1),0)))),$B$6)</f>
        <v/>
      </c>
      <c r="C51" t="inlineStr">
        <is>
          <t>проценты, тело</t>
        </is>
      </c>
      <c r="D51">
        <f>B51-B50</f>
        <v/>
      </c>
      <c r="E51" s="11">
        <f>IF(YEAR(B50)=YEAR(B51),(B51-B50)/(DATE(YEAR(B50)+1,1,1)-DATE(YEAR(B50),1,1)),(DATE(YEAR(B50)+1,1,1)-B50)/(DATE(YEAR(B50)+1,1,1)-DATE(YEAR(B50),1,1))+(B51-DATE(YEAR(B51),1,1))/(DATE(YEAR(B51)+1,1,1)-DATE(YEAR(B51),1,1))+YEAR(B51)-YEAR(B50)-1)</f>
        <v/>
      </c>
      <c r="F51" s="8">
        <f>K50</f>
        <v/>
      </c>
      <c r="G51" s="7">
        <f>$B$10</f>
        <v/>
      </c>
      <c r="H51" s="8">
        <f>F51*G51*E51</f>
        <v/>
      </c>
      <c r="I51" s="8">
        <f>SUM(H51:H51)</f>
        <v/>
      </c>
      <c r="J51" s="8">
        <f>$B$14-I51</f>
        <v/>
      </c>
      <c r="K51" s="8">
        <f>F51-J51</f>
        <v/>
      </c>
    </row>
    <row r="52">
      <c r="A52" t="n">
        <v>56</v>
      </c>
      <c r="B52" s="10">
        <f>MIN(DATE(YEAR($E$3),MONTH($E$3)+A52*$E$4,MIN($E$5,DAY(EOMONTH(DATE(YEAR($E$3),MONTH($E$3)+A52*$E$4,1),0)))),$B$6)</f>
        <v/>
      </c>
      <c r="C52" t="inlineStr">
        <is>
          <t>проценты, тело</t>
        </is>
      </c>
      <c r="D52">
        <f>B52-B51</f>
        <v/>
      </c>
      <c r="E52" s="11">
        <f>IF(YEAR(B51)=YEAR(B52),(B52-B51)/(DATE(YEAR(B51)+1,1,1)-DATE(YEAR(B51),1,1)),(DATE(YEAR(B51)+1,1,1)-B51)/(DATE(YEAR(B51)+1,1,1)-DATE(YEAR(B51),1,1))+(B52-DATE(YEAR(B52),1,1))/(DATE(YEAR(B52)+1,1,1)-DATE(YEAR(B52),1,1))+YEAR(B52)-YEAR(B51)-1)</f>
        <v/>
      </c>
      <c r="F52" s="8">
        <f>K51</f>
        <v/>
      </c>
      <c r="G52" s="7">
        <f>$B$10</f>
        <v/>
      </c>
      <c r="H52" s="8">
        <f>F52*G52*E52</f>
        <v/>
      </c>
      <c r="I52" s="8">
        <f>SUM(H52:H52)</f>
        <v/>
      </c>
      <c r="J52" s="8">
        <f>$B$14-I52</f>
        <v/>
      </c>
      <c r="K52" s="8">
        <f>F52-J52</f>
        <v/>
      </c>
    </row>
    <row r="53">
      <c r="A53" t="n">
        <v>57</v>
      </c>
      <c r="B53" s="10">
        <f>MIN(DATE(YEAR($E$3),MONTH($E$3)+A53*$E$4,MIN($E$5,DAY(EOMONTH(DATE(YEAR($E$3),MONTH($E$3)+A53*$E$4,1),0)))),$B$6)</f>
        <v/>
      </c>
      <c r="C53" t="inlineStr">
        <is>
          <t>проценты, тело</t>
        </is>
      </c>
      <c r="D53">
        <f>B53-B52</f>
        <v/>
      </c>
      <c r="E53" s="11">
        <f>IF(YEAR(B52)=YEAR(B53),(B53-B52)/(DATE(YEAR(B52)+1,1,1)-DATE(YEAR(B52),1,1)),(DATE(YEAR(B52)+1,1,1)-B52)/(DATE(YEAR(B52)+1,1,1)-DATE(YEAR(B52),1,1))+(B53-DATE(YEAR(B53),1,1))/(DATE(YEAR(B53)+1,1,1)-DATE(YEAR(B53),1,1))+YEAR(B53)-YEAR(B52)-1)</f>
        <v/>
      </c>
      <c r="F53" s="8">
        <f>K52</f>
        <v/>
      </c>
      <c r="G53" s="7">
        <f>$B$10</f>
        <v/>
      </c>
      <c r="H53" s="8">
        <f>F53*G53*E53</f>
        <v/>
      </c>
      <c r="I53" s="8">
        <f>SUM(H53:H53)</f>
        <v/>
      </c>
      <c r="J53" s="8">
        <f>$B$14-I53</f>
        <v/>
      </c>
      <c r="K53" s="8">
        <f>F53-J53</f>
        <v/>
      </c>
    </row>
    <row r="54">
      <c r="A54" t="n">
        <v>58</v>
      </c>
      <c r="B54" s="10">
        <f>MIN(DATE(YEAR($E$3),MONTH($E$3)+A54*$E$4,MIN($E$5,DAY(EOMONTH(DATE(YEAR($E$3),MONTH($E$3)+A54*$E$4,1),0)))),$B$6)</f>
        <v/>
      </c>
      <c r="C54" t="inlineStr">
        <is>
          <t>проценты, тело</t>
        </is>
      </c>
      <c r="D54">
        <f>B54-B53</f>
        <v/>
      </c>
      <c r="E54" s="11">
        <f>IF(YEAR(B53)=YEAR(B54),(B54-B53)/(DATE(YEAR(B53)+1,1,1)-DATE(YEAR(B53),1,1)),(DATE(YEAR(B53)+1,1,1)-B53)/(DATE(YEAR(B53)+1,1,1)-DATE(YEAR(B53),1,1))+(B54-DATE(YEAR(B54),1,1))/(DATE(YEAR(B54)+1,1,1)-DATE(YEAR(B54),1,1))+YEAR(B54)-YEAR(B53)-1)</f>
        <v/>
      </c>
      <c r="F54" s="8">
        <f>K53</f>
        <v/>
      </c>
      <c r="G54" s="7">
        <f>$B$10</f>
        <v/>
      </c>
      <c r="H54" s="8">
        <f>F54*G54*E54</f>
        <v/>
      </c>
      <c r="I54" s="8">
        <f>SUM(H54:H54)</f>
        <v/>
      </c>
      <c r="J54" s="8">
        <f>$B$14-I54</f>
        <v/>
      </c>
      <c r="K54" s="8">
        <f>F54-J54</f>
        <v/>
      </c>
    </row>
    <row r="55">
      <c r="A55" t="n">
        <v>59</v>
      </c>
      <c r="B55" s="10">
        <f>MIN(DATE(YEAR($E$3),MONTH($E$3)+A55*$E$4,MIN($E$5,DAY(EOMONTH(DATE(YEAR($E$3),MONTH($E$3)+A55*$E$4,1),0)))),$B$6)</f>
        <v/>
      </c>
      <c r="C55" t="inlineStr">
        <is>
          <t>проценты, тело</t>
        </is>
      </c>
      <c r="D55">
        <f>B55-B54</f>
        <v/>
      </c>
      <c r="E55" s="11">
        <f>IF(YEAR(B54)=YEAR(B55),(B55-B54)/(DATE(YEAR(B54)+1,1,1)-DATE(YEAR(B54),1,1)),(DATE(YEAR(B54)+1,1,1)-B54)/(DATE(YEAR(B54)+1,1,1)-DATE(YEAR(B54),1,1))+(B55-DATE(YEAR(B55),1,1))/(DATE(YEAR(B55)+1,1,1)-DATE(YEAR(B55),1,1))+YEAR(B55)-YEAR(B54)-1)</f>
        <v/>
      </c>
      <c r="F55" s="8">
        <f>K54</f>
        <v/>
      </c>
      <c r="G55" s="7">
        <f>$B$10</f>
        <v/>
      </c>
      <c r="H55" s="8">
        <f>F55*G55*E55</f>
        <v/>
      </c>
      <c r="I55" s="8">
        <f>SUM(H55:H55)</f>
        <v/>
      </c>
      <c r="J55" s="8">
        <f>$B$14-I55</f>
        <v/>
      </c>
      <c r="K55" s="8">
        <f>F55-J55</f>
        <v/>
      </c>
    </row>
    <row r="56">
      <c r="A56" t="n">
        <v>60</v>
      </c>
      <c r="B56" s="10">
        <f>MIN(DATE(YEAR($E$3),MONTH($E$3)+A56*$E$4,MIN($E$5,DAY(EOMONTH(DATE(YEAR($E$3),MONTH($E$3)+A56*$E$4,1),0)))),$B$6)</f>
        <v/>
      </c>
      <c r="C56" t="inlineStr">
        <is>
          <t>проценты, тело</t>
        </is>
      </c>
      <c r="D56">
        <f>B56-B55</f>
        <v/>
      </c>
      <c r="E56" s="11">
        <f>IF(YEAR(B55)=YEAR(B56),(B56-B55)/(DATE(YEAR(B55)+1,1,1)-DATE(YEAR(B55),1,1)),(DATE(YEAR(B55)+1,1,1)-B55)/(DATE(YEAR(B55)+1,1,1)-DATE(YEAR(B55),1,1))+(B56-DATE(YEAR(B56),1,1))/(DATE(YEAR(B56)+1,1,1)-DATE(YEAR(B56),1,1))+YEAR(B56)-YEAR(B55)-1)</f>
        <v/>
      </c>
      <c r="F56" s="8">
        <f>K55</f>
        <v/>
      </c>
      <c r="G56" s="7">
        <f>$B$10</f>
        <v/>
      </c>
      <c r="H56" s="8">
        <f>F56*G56*E56</f>
        <v/>
      </c>
      <c r="I56" s="8">
        <f>SUM(H56:H56)</f>
        <v/>
      </c>
      <c r="J56" s="8">
        <f>$B$14-I56</f>
        <v/>
      </c>
      <c r="K56" s="8">
        <f>F56-J56</f>
        <v/>
      </c>
    </row>
    <row r="57">
      <c r="A57" t="n">
        <v>61</v>
      </c>
      <c r="B57" s="10">
        <f>MIN(DATE(YEAR($E$3),MONTH($E$3)+A57*$E$4,MIN($E$5,DAY(EOMONTH(DATE(YEAR($E$3),MONTH($E$3)+A57*$E$4,1),0)))),$B$6)</f>
        <v/>
      </c>
      <c r="C57" t="inlineStr">
        <is>
          <t>проценты, тело</t>
        </is>
      </c>
      <c r="D57">
        <f>B57-B56</f>
        <v/>
      </c>
      <c r="E57" s="11">
        <f>IF(YEAR(B56)=YEAR(B57),(B57-B56)/(DATE(YEAR(B56)+1,1,1)-DATE(YEAR(B56),1,1)),(DATE(YEAR(B56)+1,1,1)-B56)/(DATE(YEAR(B56)+1,1,1)-DATE(YEAR(B56),1,1))+(B57-DATE(YEAR(B57),1,1))/(DATE(YEAR(B57)+1,1,1)-DATE(YEAR(B57),1,1))+YEAR(B57)-YEAR(B56)-1)</f>
        <v/>
      </c>
      <c r="F57" s="8">
        <f>K56</f>
        <v/>
      </c>
      <c r="G57" s="7">
        <f>$B$10</f>
        <v/>
      </c>
      <c r="H57" s="8">
        <f>F57*G57*E57</f>
        <v/>
      </c>
      <c r="I57" s="8">
        <f>SUM(H57:H57)</f>
        <v/>
      </c>
      <c r="J57" s="8">
        <f>$B$14-I57</f>
        <v/>
      </c>
      <c r="K57" s="8">
        <f>F57-J57</f>
        <v/>
      </c>
    </row>
    <row r="58">
      <c r="A58" t="n">
        <v>62</v>
      </c>
      <c r="B58" s="10">
        <f>MIN(DATE(YEAR($E$3),MONTH($E$3)+A58*$E$4,MIN($E$5,DAY(EOMONTH(DATE(YEAR($E$3),MONTH($E$3)+A58*$E$4,1),0)))),$B$6)</f>
        <v/>
      </c>
      <c r="C58" t="inlineStr">
        <is>
          <t>проценты, тело</t>
        </is>
      </c>
      <c r="D58">
        <f>B58-B57</f>
        <v/>
      </c>
      <c r="E58" s="11">
        <f>IF(YEAR(B57)=YEAR(B58),(B58-B57)/(DATE(YEAR(B57)+1,1,1)-DATE(YEAR(B57),1,1)),(DATE(YEAR(B57)+1,1,1)-B57)/(DATE(YEAR(B57)+1,1,1)-DATE(YEAR(B57),1,1))+(B58-DATE(YEAR(B58),1,1))/(DATE(YEAR(B58)+1,1,1)-DATE(YEAR(B58),1,1))+YEAR(B58)-YEAR(B57)-1)</f>
        <v/>
      </c>
      <c r="F58" s="8">
        <f>K57</f>
        <v/>
      </c>
      <c r="G58" s="7">
        <f>$B$10</f>
        <v/>
      </c>
      <c r="H58" s="8">
        <f>F58*G58*E58</f>
        <v/>
      </c>
      <c r="I58" s="8">
        <f>SUM(H58:H58)</f>
        <v/>
      </c>
      <c r="J58" s="8">
        <f>$B$14-I58</f>
        <v/>
      </c>
      <c r="K58" s="8">
        <f>F58-J58</f>
        <v/>
      </c>
    </row>
    <row r="59">
      <c r="A59" t="n">
        <v>63</v>
      </c>
      <c r="B59" s="10">
        <f>MIN(DATE(YEAR($E$3),MONTH($E$3)+A59*$E$4,MIN($E$5,DAY(EOMONTH(DATE(YEAR($E$3),MONTH($E$3)+A59*$E$4,1),0)))),$B$6)</f>
        <v/>
      </c>
      <c r="C59" t="inlineStr">
        <is>
          <t>проценты, тело</t>
        </is>
      </c>
      <c r="D59">
        <f>B59-B58</f>
        <v/>
      </c>
      <c r="E59" s="11">
        <f>IF(YEAR(B58)=YEAR(B59),(B59-B58)/(DATE(YEAR(B58)+1,1,1)-DATE(YEAR(B58),1,1)),(DATE(YEAR(B58)+1,1,1)-B58)/(DATE(YEAR(B58)+1,1,1)-DATE(YEAR(B58),1,1))+(B59-DATE(YEAR(B59),1,1))/(DATE(YEAR(B59)+1,1,1)-DATE(YEAR(B59),1,1))+YEAR(B59)-YEAR(B58)-1)</f>
        <v/>
      </c>
      <c r="F59" s="8">
        <f>K58</f>
        <v/>
      </c>
      <c r="G59" s="7">
        <f>$B$10</f>
        <v/>
      </c>
      <c r="H59" s="8">
        <f>F59*G59*E59</f>
        <v/>
      </c>
      <c r="I59" s="8">
        <f>SUM(H59:H59)</f>
        <v/>
      </c>
      <c r="J59" s="8">
        <f>$B$14-I59</f>
        <v/>
      </c>
      <c r="K59" s="8">
        <f>F59-J59</f>
        <v/>
      </c>
    </row>
    <row r="60">
      <c r="A60" t="n">
        <v>64</v>
      </c>
      <c r="B60" s="10">
        <f>MIN(DATE(YEAR($E$3),MONTH($E$3)+A60*$E$4,MIN($E$5,DAY(EOMONTH(DATE(YEAR($E$3),MONTH($E$3)+A60*$E$4,1),0)))),$B$6)</f>
        <v/>
      </c>
      <c r="C60" t="inlineStr">
        <is>
          <t>проценты, тело</t>
        </is>
      </c>
      <c r="D60">
        <f>B60-B59</f>
        <v/>
      </c>
      <c r="E60" s="11">
        <f>IF(YEAR(B59)=YEAR(B60),(B60-B59)/(DATE(YEAR(B59)+1,1,1)-DATE(YEAR(B59),1,1)),(DATE(YEAR(B59)+1,1,1)-B59)/(DATE(YEAR(B59)+1,1,1)-DATE(YEAR(B59),1,1))+(B60-DATE(YEAR(B60),1,1))/(DATE(YEAR(B60)+1,1,1)-DATE(YEAR(B60),1,1))+YEAR(B60)-YEAR(B59)-1)</f>
        <v/>
      </c>
      <c r="F60" s="8">
        <f>K59</f>
        <v/>
      </c>
      <c r="G60" s="7">
        <f>$B$10</f>
        <v/>
      </c>
      <c r="H60" s="8">
        <f>F60*G60*E60</f>
        <v/>
      </c>
      <c r="I60" s="8">
        <f>SUM(H60:H60)</f>
        <v/>
      </c>
      <c r="J60" s="8">
        <f>$B$14-I60</f>
        <v/>
      </c>
      <c r="K60" s="8">
        <f>F60-J60</f>
        <v/>
      </c>
    </row>
    <row r="61">
      <c r="A61" t="n">
        <v>65</v>
      </c>
      <c r="B61" s="10">
        <f>MIN(DATE(YEAR($E$3),MONTH($E$3)+A61*$E$4,MIN($E$5,DAY(EOMONTH(DATE(YEAR($E$3),MONTH($E$3)+A61*$E$4,1),0)))),$B$6)</f>
        <v/>
      </c>
      <c r="C61" t="inlineStr">
        <is>
          <t>проценты, тело</t>
        </is>
      </c>
      <c r="D61">
        <f>B61-B60</f>
        <v/>
      </c>
      <c r="E61" s="11">
        <f>IF(YEAR(B60)=YEAR(B61),(B61-B60)/(DATE(YEAR(B60)+1,1,1)-DATE(YEAR(B60),1,1)),(DATE(YEAR(B60)+1,1,1)-B60)/(DATE(YEAR(B60)+1,1,1)-DATE(YEAR(B60),1,1))+(B61-DATE(YEAR(B61),1,1))/(DATE(YEAR(B61)+1,1,1)-DATE(YEAR(B61),1,1))+YEAR(B61)-YEAR(B60)-1)</f>
        <v/>
      </c>
      <c r="F61" s="8">
        <f>K60</f>
        <v/>
      </c>
      <c r="G61" s="7">
        <f>$B$10</f>
        <v/>
      </c>
      <c r="H61" s="8">
        <f>F61*G61*E61</f>
        <v/>
      </c>
      <c r="I61" s="8">
        <f>SUM(H61:H61)</f>
        <v/>
      </c>
      <c r="J61" s="8">
        <f>$B$14-I61</f>
        <v/>
      </c>
      <c r="K61" s="8">
        <f>F61-J61</f>
        <v/>
      </c>
    </row>
    <row r="62">
      <c r="A62" t="n">
        <v>66</v>
      </c>
      <c r="B62" s="10">
        <f>MIN(DATE(YEAR($E$3),MONTH($E$3)+A62*$E$4,MIN($E$5,DAY(EOMONTH(DATE(YEAR($E$3),MONTH($E$3)+A62*$E$4,1),0)))),$B$6)</f>
        <v/>
      </c>
      <c r="C62" t="inlineStr">
        <is>
          <t>проценты, тело</t>
        </is>
      </c>
      <c r="D62">
        <f>B62-B61</f>
        <v/>
      </c>
      <c r="E62" s="11">
        <f>IF(YEAR(B61)=YEAR(B62),(B62-B61)/(DATE(YEAR(B61)+1,1,1)-DATE(YEAR(B61),1,1)),(DATE(YEAR(B61)+1,1,1)-B61)/(DATE(YEAR(B61)+1,1,1)-DATE(YEAR(B61),1,1))+(B62-DATE(YEAR(B62),1,1))/(DATE(YEAR(B62)+1,1,1)-DATE(YEAR(B62),1,1))+YEAR(B62)-YEAR(B61)-1)</f>
        <v/>
      </c>
      <c r="F62" s="8">
        <f>K61</f>
        <v/>
      </c>
      <c r="G62" s="7">
        <f>$B$10</f>
        <v/>
      </c>
      <c r="H62" s="8">
        <f>F62*G62*E62</f>
        <v/>
      </c>
      <c r="I62" s="8">
        <f>SUM(H62:H62)</f>
        <v/>
      </c>
      <c r="J62" s="8">
        <f>$B$14-I62</f>
        <v/>
      </c>
      <c r="K62" s="8">
        <f>F62-J62</f>
        <v/>
      </c>
    </row>
    <row r="63">
      <c r="A63" t="n">
        <v>67</v>
      </c>
      <c r="B63" s="10">
        <f>MIN(DATE(YEAR($E$3),MONTH($E$3)+A63*$E$4,MIN($E$5,DAY(EOMONTH(DATE(YEAR($E$3),MONTH($E$3)+A63*$E$4,1),0)))),$B$6)</f>
        <v/>
      </c>
      <c r="C63" t="inlineStr">
        <is>
          <t>проценты, тело</t>
        </is>
      </c>
      <c r="D63">
        <f>B63-B62</f>
        <v/>
      </c>
      <c r="E63" s="11">
        <f>IF(YEAR(B62)=YEAR(B63),(B63-B62)/(DATE(YEAR(B62)+1,1,1)-DATE(YEAR(B62),1,1)),(DATE(YEAR(B62)+1,1,1)-B62)/(DATE(YEAR(B62)+1,1,1)-DATE(YEAR(B62),1,1))+(B63-DATE(YEAR(B63),1,1))/(DATE(YEAR(B63)+1,1,1)-DATE(YEAR(B63),1,1))+YEAR(B63)-YEAR(B62)-1)</f>
        <v/>
      </c>
      <c r="F63" s="8">
        <f>K62</f>
        <v/>
      </c>
      <c r="G63" s="7">
        <f>$B$10</f>
        <v/>
      </c>
      <c r="H63" s="8">
        <f>F63*G63*E63</f>
        <v/>
      </c>
      <c r="I63" s="8">
        <f>SUM(H63:H63)</f>
        <v/>
      </c>
      <c r="J63" s="8">
        <f>$B$14-I63</f>
        <v/>
      </c>
      <c r="K63" s="8">
        <f>F63-J63</f>
        <v/>
      </c>
    </row>
    <row r="64">
      <c r="A64" t="n">
        <v>68</v>
      </c>
      <c r="B64" s="10">
        <f>MIN(DATE(YEAR($E$3),MONTH($E$3)+A64*$E$4,MIN($E$5,DAY(EOMONTH(DATE(YEAR($E$3),MONTH($E$3)+A64*$E$4,1),0)))),$B$6)</f>
        <v/>
      </c>
      <c r="C64" t="inlineStr">
        <is>
          <t>проценты, тело</t>
        </is>
      </c>
      <c r="D64">
        <f>B64-B63</f>
        <v/>
      </c>
      <c r="E64" s="11">
        <f>IF(YEAR(B63)=YEAR(B64),(B64-B63)/(DATE(YEAR(B63)+1,1,1)-DATE(YEAR(B63),1,1)),(DATE(YEAR(B63)+1,1,1)-B63)/(DATE(YEAR(B63)+1,1,1)-DATE(YEAR(B63),1,1))+(B64-DATE(YEAR(B64),1,1))/(DATE(YEAR(B64)+1,1,1)-DATE(YEAR(B64),1,1))+YEAR(B64)-YEAR(B63)-1)</f>
        <v/>
      </c>
      <c r="F64" s="8">
        <f>K63</f>
        <v/>
      </c>
      <c r="G64" s="7">
        <f>$B$10</f>
        <v/>
      </c>
      <c r="H64" s="8">
        <f>F64*G64*E64</f>
        <v/>
      </c>
      <c r="I64" s="8">
        <f>SUM(H64:H64)</f>
        <v/>
      </c>
      <c r="J64" s="8">
        <f>$B$14-I64</f>
        <v/>
      </c>
      <c r="K64" s="8">
        <f>F64-J64</f>
        <v/>
      </c>
    </row>
    <row r="65">
      <c r="A65" t="n">
        <v>69</v>
      </c>
      <c r="B65" s="10">
        <f>MIN(DATE(YEAR($E$3),MONTH($E$3)+A65*$E$4,MIN($E$5,DAY(EOMONTH(DATE(YEAR($E$3),MONTH($E$3)+A65*$E$4,1),0)))),$B$6)</f>
        <v/>
      </c>
      <c r="C65" t="inlineStr">
        <is>
          <t>проценты, тело</t>
        </is>
      </c>
      <c r="D65">
        <f>B65-B64</f>
        <v/>
      </c>
      <c r="E65" s="11">
        <f>IF(YEAR(B64)=YEAR(B65),(B65-B64)/(DATE(YEAR(B64)+1,1,1)-DATE(YEAR(B64),1,1)),(DATE(YEAR(B64)+1,1,1)-B64)/(DATE(YEAR(B64)+1,1,1)-DATE(YEAR(B64),1,1))+(B65-DATE(YEAR(B65),1,1))/(DATE(YEAR(B65)+1,1,1)-DATE(YEAR(B65),1,1))+YEAR(B65)-YEAR(B64)-1)</f>
        <v/>
      </c>
      <c r="F65" s="8">
        <f>K64</f>
        <v/>
      </c>
      <c r="G65" s="7">
        <f>$B$10</f>
        <v/>
      </c>
      <c r="H65" s="8">
        <f>F65*G65*E65</f>
        <v/>
      </c>
      <c r="I65" s="8">
        <f>SUM(H65:H65)</f>
        <v/>
      </c>
      <c r="J65" s="8">
        <f>$B$14-I65</f>
        <v/>
      </c>
      <c r="K65" s="8">
        <f>F65-J65</f>
        <v/>
      </c>
    </row>
    <row r="66">
      <c r="A66" t="n">
        <v>70</v>
      </c>
      <c r="B66" s="10">
        <f>MIN(DATE(YEAR($E$3),MONTH($E$3)+A66*$E$4,MIN($E$5,DAY(EOMONTH(DATE(YEAR($E$3),MONTH($E$3)+A66*$E$4,1),0)))),$B$6)</f>
        <v/>
      </c>
      <c r="C66" t="inlineStr">
        <is>
          <t>проценты, тело</t>
        </is>
      </c>
      <c r="D66">
        <f>B66-B65</f>
        <v/>
      </c>
      <c r="E66" s="11">
        <f>IF(YEAR(B65)=YEAR(B66),(B66-B65)/(DATE(YEAR(B65)+1,1,1)-DATE(YEAR(B65),1,1)),(DATE(YEAR(B65)+1,1,1)-B65)/(DATE(YEAR(B65)+1,1,1)-DATE(YEAR(B65),1,1))+(B66-DATE(YEAR(B66),1,1))/(DATE(YEAR(B66)+1,1,1)-DATE(YEAR(B66),1,1))+YEAR(B66)-YEAR(B65)-1)</f>
        <v/>
      </c>
      <c r="F66" s="8">
        <f>K65</f>
        <v/>
      </c>
      <c r="G66" s="7">
        <f>$B$10</f>
        <v/>
      </c>
      <c r="H66" s="8">
        <f>F66*G66*E66</f>
        <v/>
      </c>
      <c r="I66" s="8">
        <f>SUM(H66:H66)</f>
        <v/>
      </c>
      <c r="J66" s="8">
        <f>$B$14-I66</f>
        <v/>
      </c>
      <c r="K66" s="8">
        <f>F66-J66</f>
        <v/>
      </c>
    </row>
    <row r="67">
      <c r="A67" t="n">
        <v>71</v>
      </c>
      <c r="B67" s="10">
        <f>MIN(DATE(YEAR($E$3),MONTH($E$3)+A67*$E$4,MIN($E$5,DAY(EOMONTH(DATE(YEAR($E$3),MONTH($E$3)+A67*$E$4,1),0)))),$B$6)</f>
        <v/>
      </c>
      <c r="C67" t="inlineStr">
        <is>
          <t>проценты, тело</t>
        </is>
      </c>
      <c r="D67">
        <f>B67-B66</f>
        <v/>
      </c>
      <c r="E67" s="11">
        <f>IF(YEAR(B66)=YEAR(B67),(B67-B66)/(DATE(YEAR(B66)+1,1,1)-DATE(YEAR(B66),1,1)),(DATE(YEAR(B66)+1,1,1)-B66)/(DATE(YEAR(B66)+1,1,1)-DATE(YEAR(B66),1,1))+(B67-DATE(YEAR(B67),1,1))/(DATE(YEAR(B67)+1,1,1)-DATE(YEAR(B67),1,1))+YEAR(B67)-YEAR(B66)-1)</f>
        <v/>
      </c>
      <c r="F67" s="8">
        <f>K66</f>
        <v/>
      </c>
      <c r="G67" s="7">
        <f>$B$10</f>
        <v/>
      </c>
      <c r="H67" s="8">
        <f>F67*G67*E67</f>
        <v/>
      </c>
      <c r="I67" s="8">
        <f>SUM(H67:H67)</f>
        <v/>
      </c>
      <c r="J67" s="8">
        <f>$B$14-I67</f>
        <v/>
      </c>
      <c r="K67" s="8">
        <f>F67-J67</f>
        <v/>
      </c>
    </row>
    <row r="68">
      <c r="A68" t="n">
        <v>72</v>
      </c>
      <c r="B68" s="10">
        <f>MIN(DATE(YEAR($E$3),MONTH($E$3)+A68*$E$4,MIN($E$5,DAY(EOMONTH(DATE(YEAR($E$3),MONTH($E$3)+A68*$E$4,1),0)))),$B$6)</f>
        <v/>
      </c>
      <c r="C68" t="inlineStr">
        <is>
          <t>проценты, тело</t>
        </is>
      </c>
      <c r="D68">
        <f>B68-B67</f>
        <v/>
      </c>
      <c r="E68" s="11">
        <f>IF(YEAR(B67)=YEAR(B68),(B68-B67)/(DATE(YEAR(B67)+1,1,1)-DATE(YEAR(B67),1,1)),(DATE(YEAR(B67)+1,1,1)-B67)/(DATE(YEAR(B67)+1,1,1)-DATE(YEAR(B67),1,1))+(B68-DATE(YEAR(B68),1,1))/(DATE(YEAR(B68)+1,1,1)-DATE(YEAR(B68),1,1))+YEAR(B68)-YEAR(B67)-1)</f>
        <v/>
      </c>
      <c r="F68" s="8">
        <f>K67</f>
        <v/>
      </c>
      <c r="G68" s="7">
        <f>$B$10</f>
        <v/>
      </c>
      <c r="H68" s="8">
        <f>F68*G68*E68</f>
        <v/>
      </c>
      <c r="I68" s="8">
        <f>SUM(H68:H68)</f>
        <v/>
      </c>
      <c r="J68" s="8">
        <f>$B$14-I68</f>
        <v/>
      </c>
      <c r="K68" s="8">
        <f>F68-J68</f>
        <v/>
      </c>
    </row>
    <row r="69">
      <c r="A69" t="n">
        <v>73</v>
      </c>
      <c r="B69" s="10">
        <f>MIN(DATE(YEAR($E$3),MONTH($E$3)+A69*$E$4,MIN($E$5,DAY(EOMONTH(DATE(YEAR($E$3),MONTH($E$3)+A69*$E$4,1),0)))),$B$6)</f>
        <v/>
      </c>
      <c r="C69" t="inlineStr">
        <is>
          <t>проценты, тело</t>
        </is>
      </c>
      <c r="D69">
        <f>B69-B68</f>
        <v/>
      </c>
      <c r="E69" s="11">
        <f>IF(YEAR(B68)=YEAR(B69),(B69-B68)/(DATE(YEAR(B68)+1,1,1)-DATE(YEAR(B68),1,1)),(DATE(YEAR(B68)+1,1,1)-B68)/(DATE(YEAR(B68)+1,1,1)-DATE(YEAR(B68),1,1))+(B69-DATE(YEAR(B69),1,1))/(DATE(YEAR(B69)+1,1,1)-DATE(YEAR(B69),1,1))+YEAR(B69)-YEAR(B68)-1)</f>
        <v/>
      </c>
      <c r="F69" s="8">
        <f>K68</f>
        <v/>
      </c>
      <c r="G69" s="7">
        <f>$B$10</f>
        <v/>
      </c>
      <c r="H69" s="8">
        <f>F69*G69*E69</f>
        <v/>
      </c>
      <c r="I69" s="8">
        <f>SUM(H69:H69)</f>
        <v/>
      </c>
      <c r="J69" s="8">
        <f>$B$14-I69</f>
        <v/>
      </c>
      <c r="K69" s="8">
        <f>F69-J69</f>
        <v/>
      </c>
    </row>
    <row r="70">
      <c r="A70" t="n">
        <v>74</v>
      </c>
      <c r="B70" s="10">
        <f>MIN(DATE(YEAR($E$3),MONTH($E$3)+A70*$E$4,MIN($E$5,DAY(EOMONTH(DATE(YEAR($E$3),MONTH($E$3)+A70*$E$4,1),0)))),$B$6)</f>
        <v/>
      </c>
      <c r="C70" t="inlineStr">
        <is>
          <t>проценты, тело</t>
        </is>
      </c>
      <c r="D70">
        <f>B70-B69</f>
        <v/>
      </c>
      <c r="E70" s="11">
        <f>IF(YEAR(B69)=YEAR(B70),(B70-B69)/(DATE(YEAR(B69)+1,1,1)-DATE(YEAR(B69),1,1)),(DATE(YEAR(B69)+1,1,1)-B69)/(DATE(YEAR(B69)+1,1,1)-DATE(YEAR(B69),1,1))+(B70-DATE(YEAR(B70),1,1))/(DATE(YEAR(B70)+1,1,1)-DATE(YEAR(B70),1,1))+YEAR(B70)-YEAR(B69)-1)</f>
        <v/>
      </c>
      <c r="F70" s="8">
        <f>K69</f>
        <v/>
      </c>
      <c r="G70" s="7">
        <f>$B$10</f>
        <v/>
      </c>
      <c r="H70" s="8">
        <f>F70*G70*E70</f>
        <v/>
      </c>
      <c r="I70" s="8">
        <f>SUM(H70:H70)</f>
        <v/>
      </c>
      <c r="J70" s="8">
        <f>$B$14-I70</f>
        <v/>
      </c>
      <c r="K70" s="8">
        <f>F70-J70</f>
        <v/>
      </c>
    </row>
    <row r="71">
      <c r="A71" t="n">
        <v>75</v>
      </c>
      <c r="B71" s="10">
        <f>MIN(DATE(YEAR($E$3),MONTH($E$3)+A71*$E$4,MIN($E$5,DAY(EOMONTH(DATE(YEAR($E$3),MONTH($E$3)+A71*$E$4,1),0)))),$B$6)</f>
        <v/>
      </c>
      <c r="C71" t="inlineStr">
        <is>
          <t>проценты, тело</t>
        </is>
      </c>
      <c r="D71">
        <f>B71-B70</f>
        <v/>
      </c>
      <c r="E71" s="11">
        <f>IF(YEAR(B70)=YEAR(B71),(B71-B70)/(DATE(YEAR(B70)+1,1,1)-DATE(YEAR(B70),1,1)),(DATE(YEAR(B70)+1,1,1)-B70)/(DATE(YEAR(B70)+1,1,1)-DATE(YEAR(B70),1,1))+(B71-DATE(YEAR(B71),1,1))/(DATE(YEAR(B71)+1,1,1)-DATE(YEAR(B71),1,1))+YEAR(B71)-YEAR(B70)-1)</f>
        <v/>
      </c>
      <c r="F71" s="8">
        <f>K70</f>
        <v/>
      </c>
      <c r="G71" s="7">
        <f>$B$10</f>
        <v/>
      </c>
      <c r="H71" s="8">
        <f>F71*G71*E71</f>
        <v/>
      </c>
      <c r="I71" s="8">
        <f>SUM(H71:H71)</f>
        <v/>
      </c>
      <c r="J71" s="8">
        <f>$B$14-I71</f>
        <v/>
      </c>
      <c r="K71" s="8">
        <f>F71-J71</f>
        <v/>
      </c>
    </row>
    <row r="72">
      <c r="A72" t="n">
        <v>76</v>
      </c>
      <c r="B72" s="10">
        <f>MIN(DATE(YEAR($E$3),MONTH($E$3)+A72*$E$4,MIN($E$5,DAY(EOMONTH(DATE(YEAR($E$3),MONTH($E$3)+A72*$E$4,1),0)))),$B$6)</f>
        <v/>
      </c>
      <c r="C72" t="inlineStr">
        <is>
          <t>проценты, тело</t>
        </is>
      </c>
      <c r="D72">
        <f>B72-B71</f>
        <v/>
      </c>
      <c r="E72" s="11">
        <f>IF(YEAR(B71)=YEAR(B72),(B72-B71)/(DATE(YEAR(B71)+1,1,1)-DATE(YEAR(B71),1,1)),(DATE(YEAR(B71)+1,1,1)-B71)/(DATE(YEAR(B71)+1,1,1)-DATE(YEAR(B71),1,1))+(B72-DATE(YEAR(B72),1,1))/(DATE(YEAR(B72)+1,1,1)-DATE(YEAR(B72),1,1))+YEAR(B72)-YEAR(B71)-1)</f>
        <v/>
      </c>
      <c r="F72" s="8">
        <f>K71</f>
        <v/>
      </c>
      <c r="G72" s="7">
        <f>$B$10</f>
        <v/>
      </c>
      <c r="H72" s="8">
        <f>F72*G72*E72</f>
        <v/>
      </c>
      <c r="I72" s="8">
        <f>SUM(H72:H72)</f>
        <v/>
      </c>
      <c r="J72" s="8">
        <f>$B$14-I72</f>
        <v/>
      </c>
      <c r="K72" s="8">
        <f>F72-J72</f>
        <v/>
      </c>
    </row>
    <row r="73">
      <c r="A73" t="n">
        <v>77</v>
      </c>
      <c r="B73" s="10">
        <f>MIN(DATE(YEAR($E$3),MONTH($E$3)+A73*$E$4,MIN($E$5,DAY(EOMONTH(DATE(YEAR($E$3),MONTH($E$3)+A73*$E$4,1),0)))),$B$6)</f>
        <v/>
      </c>
      <c r="C73" t="inlineStr">
        <is>
          <t>проценты, тело</t>
        </is>
      </c>
      <c r="D73">
        <f>B73-B72</f>
        <v/>
      </c>
      <c r="E73" s="11">
        <f>IF(YEAR(B72)=YEAR(B73),(B73-B72)/(DATE(YEAR(B72)+1,1,1)-DATE(YEAR(B72),1,1)),(DATE(YEAR(B72)+1,1,1)-B72)/(DATE(YEAR(B72)+1,1,1)-DATE(YEAR(B72),1,1))+(B73-DATE(YEAR(B73),1,1))/(DATE(YEAR(B73)+1,1,1)-DATE(YEAR(B73),1,1))+YEAR(B73)-YEAR(B72)-1)</f>
        <v/>
      </c>
      <c r="F73" s="8">
        <f>K72</f>
        <v/>
      </c>
      <c r="G73" s="7">
        <f>$B$10</f>
        <v/>
      </c>
      <c r="H73" s="8">
        <f>F73*G73*E73</f>
        <v/>
      </c>
      <c r="I73" s="8">
        <f>SUM(H73:H73)</f>
        <v/>
      </c>
      <c r="J73" s="8">
        <f>$B$14-I73</f>
        <v/>
      </c>
      <c r="K73" s="8">
        <f>F73-J73</f>
        <v/>
      </c>
    </row>
    <row r="74">
      <c r="A74" t="n">
        <v>78</v>
      </c>
      <c r="B74" s="10">
        <f>MIN(DATE(YEAR($E$3),MONTH($E$3)+A74*$E$4,MIN($E$5,DAY(EOMONTH(DATE(YEAR($E$3),MONTH($E$3)+A74*$E$4,1),0)))),$B$6)</f>
        <v/>
      </c>
      <c r="C74" t="inlineStr">
        <is>
          <t>проценты, тело</t>
        </is>
      </c>
      <c r="D74">
        <f>B74-B73</f>
        <v/>
      </c>
      <c r="E74" s="11">
        <f>IF(YEAR(B73)=YEAR(B74),(B74-B73)/(DATE(YEAR(B73)+1,1,1)-DATE(YEAR(B73),1,1)),(DATE(YEAR(B73)+1,1,1)-B73)/(DATE(YEAR(B73)+1,1,1)-DATE(YEAR(B73),1,1))+(B74-DATE(YEAR(B74),1,1))/(DATE(YEAR(B74)+1,1,1)-DATE(YEAR(B74),1,1))+YEAR(B74)-YEAR(B73)-1)</f>
        <v/>
      </c>
      <c r="F74" s="8">
        <f>K73</f>
        <v/>
      </c>
      <c r="G74" s="7">
        <f>$B$10</f>
        <v/>
      </c>
      <c r="H74" s="8">
        <f>F74*G74*E74</f>
        <v/>
      </c>
      <c r="I74" s="8">
        <f>SUM(H74:H74)</f>
        <v/>
      </c>
      <c r="J74" s="8">
        <f>$B$14-I74</f>
        <v/>
      </c>
      <c r="K74" s="8">
        <f>F74-J74</f>
        <v/>
      </c>
    </row>
    <row r="75">
      <c r="A75" t="n">
        <v>79</v>
      </c>
      <c r="B75" s="10">
        <f>MIN(DATE(YEAR($E$3),MONTH($E$3)+A75*$E$4,MIN($E$5,DAY(EOMONTH(DATE(YEAR($E$3),MONTH($E$3)+A75*$E$4,1),0)))),$B$6)</f>
        <v/>
      </c>
      <c r="C75" t="inlineStr">
        <is>
          <t>проценты, тело</t>
        </is>
      </c>
      <c r="D75">
        <f>B75-B74</f>
        <v/>
      </c>
      <c r="E75" s="11">
        <f>IF(YEAR(B74)=YEAR(B75),(B75-B74)/(DATE(YEAR(B74)+1,1,1)-DATE(YEAR(B74),1,1)),(DATE(YEAR(B74)+1,1,1)-B74)/(DATE(YEAR(B74)+1,1,1)-DATE(YEAR(B74),1,1))+(B75-DATE(YEAR(B75),1,1))/(DATE(YEAR(B75)+1,1,1)-DATE(YEAR(B75),1,1))+YEAR(B75)-YEAR(B74)-1)</f>
        <v/>
      </c>
      <c r="F75" s="8">
        <f>K74</f>
        <v/>
      </c>
      <c r="G75" s="7">
        <f>$B$10</f>
        <v/>
      </c>
      <c r="H75" s="8">
        <f>F75*G75*E75</f>
        <v/>
      </c>
      <c r="I75" s="8">
        <f>SUM(H75:H75)</f>
        <v/>
      </c>
      <c r="J75" s="8">
        <f>$B$14-I75</f>
        <v/>
      </c>
      <c r="K75" s="8">
        <f>F75-J75</f>
        <v/>
      </c>
    </row>
    <row r="76">
      <c r="A76" t="n">
        <v>80</v>
      </c>
      <c r="B76" s="10">
        <f>MIN(DATE(YEAR($E$3),MONTH($E$3)+A76*$E$4,MIN($E$5,DAY(EOMONTH(DATE(YEAR($E$3),MONTH($E$3)+A76*$E$4,1),0)))),$B$6)</f>
        <v/>
      </c>
      <c r="C76" t="inlineStr">
        <is>
          <t>проценты, тело</t>
        </is>
      </c>
      <c r="D76">
        <f>B76-B75</f>
        <v/>
      </c>
      <c r="E76" s="11">
        <f>IF(YEAR(B75)=YEAR(B76),(B76-B75)/(DATE(YEAR(B75)+1,1,1)-DATE(YEAR(B75),1,1)),(DATE(YEAR(B75)+1,1,1)-B75)/(DATE(YEAR(B75)+1,1,1)-DATE(YEAR(B75),1,1))+(B76-DATE(YEAR(B76),1,1))/(DATE(YEAR(B76)+1,1,1)-DATE(YEAR(B76),1,1))+YEAR(B76)-YEAR(B75)-1)</f>
        <v/>
      </c>
      <c r="F76" s="8">
        <f>K75</f>
        <v/>
      </c>
      <c r="G76" s="7">
        <f>$B$10</f>
        <v/>
      </c>
      <c r="H76" s="8">
        <f>F76*G76*E76</f>
        <v/>
      </c>
      <c r="I76" s="8">
        <f>SUM(H76:H76)</f>
        <v/>
      </c>
      <c r="J76" s="8">
        <f>$B$14-I76</f>
        <v/>
      </c>
      <c r="K76" s="8">
        <f>F76-J76</f>
        <v/>
      </c>
    </row>
    <row r="77">
      <c r="A77" t="n">
        <v>81</v>
      </c>
      <c r="B77" s="10">
        <f>MIN(DATE(YEAR($E$3),MONTH($E$3)+A77*$E$4,MIN($E$5,DAY(EOMONTH(DATE(YEAR($E$3),MONTH($E$3)+A77*$E$4,1),0)))),$B$6)</f>
        <v/>
      </c>
      <c r="C77" t="inlineStr">
        <is>
          <t>проценты, тело</t>
        </is>
      </c>
      <c r="D77">
        <f>B77-B76</f>
        <v/>
      </c>
      <c r="E77" s="11">
        <f>IF(YEAR(B76)=YEAR(B77),(B77-B76)/(DATE(YEAR(B76)+1,1,1)-DATE(YEAR(B76),1,1)),(DATE(YEAR(B76)+1,1,1)-B76)/(DATE(YEAR(B76)+1,1,1)-DATE(YEAR(B76),1,1))+(B77-DATE(YEAR(B77),1,1))/(DATE(YEAR(B77)+1,1,1)-DATE(YEAR(B77),1,1))+YEAR(B77)-YEAR(B76)-1)</f>
        <v/>
      </c>
      <c r="F77" s="8">
        <f>K76</f>
        <v/>
      </c>
      <c r="G77" s="7">
        <f>$B$10</f>
        <v/>
      </c>
      <c r="H77" s="8">
        <f>F77*G77*E77</f>
        <v/>
      </c>
      <c r="I77" s="8">
        <f>SUM(H77:H77)</f>
        <v/>
      </c>
      <c r="J77" s="8">
        <f>$B$14-I77</f>
        <v/>
      </c>
      <c r="K77" s="8">
        <f>F77-J77</f>
        <v/>
      </c>
    </row>
    <row r="78">
      <c r="A78" t="n">
        <v>82</v>
      </c>
      <c r="B78" s="10">
        <f>MIN(DATE(YEAR($E$3),MONTH($E$3)+A78*$E$4,MIN($E$5,DAY(EOMONTH(DATE(YEAR($E$3),MONTH($E$3)+A78*$E$4,1),0)))),$B$6)</f>
        <v/>
      </c>
      <c r="C78" t="inlineStr">
        <is>
          <t>проценты, тело</t>
        </is>
      </c>
      <c r="D78">
        <f>B78-B77</f>
        <v/>
      </c>
      <c r="E78" s="11">
        <f>IF(YEAR(B77)=YEAR(B78),(B78-B77)/(DATE(YEAR(B77)+1,1,1)-DATE(YEAR(B77),1,1)),(DATE(YEAR(B77)+1,1,1)-B77)/(DATE(YEAR(B77)+1,1,1)-DATE(YEAR(B77),1,1))+(B78-DATE(YEAR(B78),1,1))/(DATE(YEAR(B78)+1,1,1)-DATE(YEAR(B78),1,1))+YEAR(B78)-YEAR(B77)-1)</f>
        <v/>
      </c>
      <c r="F78" s="8">
        <f>K77</f>
        <v/>
      </c>
      <c r="G78" s="7">
        <f>$B$10</f>
        <v/>
      </c>
      <c r="H78" s="8">
        <f>F78*G78*E78</f>
        <v/>
      </c>
      <c r="I78" s="8">
        <f>SUM(H78:H78)</f>
        <v/>
      </c>
      <c r="J78" s="8">
        <f>$B$14-I78</f>
        <v/>
      </c>
      <c r="K78" s="8">
        <f>F78-J78</f>
        <v/>
      </c>
    </row>
    <row r="79">
      <c r="A79" t="n">
        <v>83</v>
      </c>
      <c r="B79" s="10">
        <f>MIN(DATE(YEAR($E$3),MONTH($E$3)+A79*$E$4,MIN($E$5,DAY(EOMONTH(DATE(YEAR($E$3),MONTH($E$3)+A79*$E$4,1),0)))),$B$6)</f>
        <v/>
      </c>
      <c r="C79" t="inlineStr">
        <is>
          <t>проценты, тело</t>
        </is>
      </c>
      <c r="D79">
        <f>B79-B78</f>
        <v/>
      </c>
      <c r="E79" s="11">
        <f>IF(YEAR(B78)=YEAR(B79),(B79-B78)/(DATE(YEAR(B78)+1,1,1)-DATE(YEAR(B78),1,1)),(DATE(YEAR(B78)+1,1,1)-B78)/(DATE(YEAR(B78)+1,1,1)-DATE(YEAR(B78),1,1))+(B79-DATE(YEAR(B79),1,1))/(DATE(YEAR(B79)+1,1,1)-DATE(YEAR(B79),1,1))+YEAR(B79)-YEAR(B78)-1)</f>
        <v/>
      </c>
      <c r="F79" s="8">
        <f>K78</f>
        <v/>
      </c>
      <c r="G79" s="7">
        <f>$B$10</f>
        <v/>
      </c>
      <c r="H79" s="8">
        <f>F79*G79*E79</f>
        <v/>
      </c>
      <c r="I79" s="8">
        <f>SUM(H79:H79)</f>
        <v/>
      </c>
      <c r="J79" s="8">
        <f>$B$14-I79</f>
        <v/>
      </c>
      <c r="K79" s="8">
        <f>F79-J79</f>
        <v/>
      </c>
    </row>
    <row r="80">
      <c r="A80" t="n">
        <v>84</v>
      </c>
      <c r="B80" s="10">
        <f>MIN(DATE(YEAR($E$3),MONTH($E$3)+A80*$E$4,MIN($E$5,DAY(EOMONTH(DATE(YEAR($E$3),MONTH($E$3)+A80*$E$4,1),0)))),$B$6)</f>
        <v/>
      </c>
      <c r="C80" t="inlineStr">
        <is>
          <t>проценты, тело</t>
        </is>
      </c>
      <c r="D80">
        <f>B80-B79</f>
        <v/>
      </c>
      <c r="E80" s="11">
        <f>IF(YEAR(B79)=YEAR(B80),(B80-B79)/(DATE(YEAR(B79)+1,1,1)-DATE(YEAR(B79),1,1)),(DATE(YEAR(B79)+1,1,1)-B79)/(DATE(YEAR(B79)+1,1,1)-DATE(YEAR(B79),1,1))+(B80-DATE(YEAR(B80),1,1))/(DATE(YEAR(B80)+1,1,1)-DATE(YEAR(B80),1,1))+YEAR(B80)-YEAR(B79)-1)</f>
        <v/>
      </c>
      <c r="F80" s="8">
        <f>K79</f>
        <v/>
      </c>
      <c r="G80" s="7">
        <f>$B$10</f>
        <v/>
      </c>
      <c r="H80" s="8">
        <f>F80*G80*E80</f>
        <v/>
      </c>
      <c r="I80" s="8">
        <f>SUM(H80:H80)</f>
        <v/>
      </c>
      <c r="J80" s="8">
        <f>$B$14-I80</f>
        <v/>
      </c>
      <c r="K80" s="8">
        <f>F80-J80</f>
        <v/>
      </c>
    </row>
    <row r="81">
      <c r="A81" t="n">
        <v>85</v>
      </c>
      <c r="B81" s="10">
        <f>MIN(DATE(YEAR($E$3),MONTH($E$3)+A81*$E$4,MIN($E$5,DAY(EOMONTH(DATE(YEAR($E$3),MONTH($E$3)+A81*$E$4,1),0)))),$B$6)</f>
        <v/>
      </c>
      <c r="C81" t="inlineStr">
        <is>
          <t>проценты, тело</t>
        </is>
      </c>
      <c r="D81">
        <f>B81-B80</f>
        <v/>
      </c>
      <c r="E81" s="11">
        <f>IF(YEAR(B80)=YEAR(B81),(B81-B80)/(DATE(YEAR(B80)+1,1,1)-DATE(YEAR(B80),1,1)),(DATE(YEAR(B80)+1,1,1)-B80)/(DATE(YEAR(B80)+1,1,1)-DATE(YEAR(B80),1,1))+(B81-DATE(YEAR(B81),1,1))/(DATE(YEAR(B81)+1,1,1)-DATE(YEAR(B81),1,1))+YEAR(B81)-YEAR(B80)-1)</f>
        <v/>
      </c>
      <c r="F81" s="8">
        <f>K80</f>
        <v/>
      </c>
      <c r="G81" s="7">
        <f>$B$10</f>
        <v/>
      </c>
      <c r="H81" s="8">
        <f>F81*G81*E81</f>
        <v/>
      </c>
      <c r="I81" s="8">
        <f>SUM(H81:H81)</f>
        <v/>
      </c>
      <c r="J81" s="8">
        <f>$B$14-I81</f>
        <v/>
      </c>
      <c r="K81" s="8">
        <f>F81-J81</f>
        <v/>
      </c>
    </row>
    <row r="82">
      <c r="A82" t="n">
        <v>86</v>
      </c>
      <c r="B82" s="10">
        <f>MIN(DATE(YEAR($E$3),MONTH($E$3)+A82*$E$4,MIN($E$5,DAY(EOMONTH(DATE(YEAR($E$3),MONTH($E$3)+A82*$E$4,1),0)))),$B$6)</f>
        <v/>
      </c>
      <c r="C82" t="inlineStr">
        <is>
          <t>проценты, тело</t>
        </is>
      </c>
      <c r="D82">
        <f>B82-B81</f>
        <v/>
      </c>
      <c r="E82" s="11">
        <f>IF(YEAR(B81)=YEAR(B82),(B82-B81)/(DATE(YEAR(B81)+1,1,1)-DATE(YEAR(B81),1,1)),(DATE(YEAR(B81)+1,1,1)-B81)/(DATE(YEAR(B81)+1,1,1)-DATE(YEAR(B81),1,1))+(B82-DATE(YEAR(B82),1,1))/(DATE(YEAR(B82)+1,1,1)-DATE(YEAR(B82),1,1))+YEAR(B82)-YEAR(B81)-1)</f>
        <v/>
      </c>
      <c r="F82" s="8">
        <f>K81</f>
        <v/>
      </c>
      <c r="G82" s="7">
        <f>$B$10</f>
        <v/>
      </c>
      <c r="H82" s="8">
        <f>F82*G82*E82</f>
        <v/>
      </c>
      <c r="I82" s="8">
        <f>SUM(H82:H82)</f>
        <v/>
      </c>
      <c r="J82" s="8">
        <f>$B$14-I82</f>
        <v/>
      </c>
      <c r="K82" s="8">
        <f>F82-J82</f>
        <v/>
      </c>
    </row>
    <row r="83">
      <c r="A83" t="n">
        <v>87</v>
      </c>
      <c r="B83" s="10">
        <f>MIN(DATE(YEAR($E$3),MONTH($E$3)+A83*$E$4,MIN($E$5,DAY(EOMONTH(DATE(YEAR($E$3),MONTH($E$3)+A83*$E$4,1),0)))),$B$6)</f>
        <v/>
      </c>
      <c r="C83" t="inlineStr">
        <is>
          <t>проценты, тело</t>
        </is>
      </c>
      <c r="D83">
        <f>B83-B82</f>
        <v/>
      </c>
      <c r="E83" s="11">
        <f>IF(YEAR(B82)=YEAR(B83),(B83-B82)/(DATE(YEAR(B82)+1,1,1)-DATE(YEAR(B82),1,1)),(DATE(YEAR(B82)+1,1,1)-B82)/(DATE(YEAR(B82)+1,1,1)-DATE(YEAR(B82),1,1))+(B83-DATE(YEAR(B83),1,1))/(DATE(YEAR(B83)+1,1,1)-DATE(YEAR(B83),1,1))+YEAR(B83)-YEAR(B82)-1)</f>
        <v/>
      </c>
      <c r="F83" s="8">
        <f>K82</f>
        <v/>
      </c>
      <c r="G83" s="7">
        <f>$B$10</f>
        <v/>
      </c>
      <c r="H83" s="8">
        <f>F83*G83*E83</f>
        <v/>
      </c>
      <c r="I83" s="8">
        <f>SUM(H83:H83)</f>
        <v/>
      </c>
      <c r="J83" s="8">
        <f>$B$14-I83</f>
        <v/>
      </c>
      <c r="K83" s="8">
        <f>F83-J83</f>
        <v/>
      </c>
    </row>
    <row r="84">
      <c r="A84" t="n">
        <v>88</v>
      </c>
      <c r="B84" s="10">
        <f>MIN(DATE(YEAR($E$3),MONTH($E$3)+A84*$E$4,MIN($E$5,DAY(EOMONTH(DATE(YEAR($E$3),MONTH($E$3)+A84*$E$4,1),0)))),$B$6)</f>
        <v/>
      </c>
      <c r="C84" t="inlineStr">
        <is>
          <t>проценты, тело</t>
        </is>
      </c>
      <c r="D84">
        <f>B84-B83</f>
        <v/>
      </c>
      <c r="E84" s="11">
        <f>IF(YEAR(B83)=YEAR(B84),(B84-B83)/(DATE(YEAR(B83)+1,1,1)-DATE(YEAR(B83),1,1)),(DATE(YEAR(B83)+1,1,1)-B83)/(DATE(YEAR(B83)+1,1,1)-DATE(YEAR(B83),1,1))+(B84-DATE(YEAR(B84),1,1))/(DATE(YEAR(B84)+1,1,1)-DATE(YEAR(B84),1,1))+YEAR(B84)-YEAR(B83)-1)</f>
        <v/>
      </c>
      <c r="F84" s="8">
        <f>K83</f>
        <v/>
      </c>
      <c r="G84" s="7">
        <f>$B$10</f>
        <v/>
      </c>
      <c r="H84" s="8">
        <f>F84*G84*E84</f>
        <v/>
      </c>
      <c r="I84" s="8">
        <f>SUM(H84:H84)</f>
        <v/>
      </c>
      <c r="J84" s="8">
        <f>$B$14-I84</f>
        <v/>
      </c>
      <c r="K84" s="8">
        <f>F84-J84</f>
        <v/>
      </c>
    </row>
    <row r="85">
      <c r="A85" t="n">
        <v>89</v>
      </c>
      <c r="B85" s="10">
        <f>MIN(DATE(YEAR($E$3),MONTH($E$3)+A85*$E$4,MIN($E$5,DAY(EOMONTH(DATE(YEAR($E$3),MONTH($E$3)+A85*$E$4,1),0)))),$B$6)</f>
        <v/>
      </c>
      <c r="C85" t="inlineStr">
        <is>
          <t>проценты, тело</t>
        </is>
      </c>
      <c r="D85">
        <f>B85-B84</f>
        <v/>
      </c>
      <c r="E85" s="11">
        <f>IF(YEAR(B84)=YEAR(B85),(B85-B84)/(DATE(YEAR(B84)+1,1,1)-DATE(YEAR(B84),1,1)),(DATE(YEAR(B84)+1,1,1)-B84)/(DATE(YEAR(B84)+1,1,1)-DATE(YEAR(B84),1,1))+(B85-DATE(YEAR(B85),1,1))/(DATE(YEAR(B85)+1,1,1)-DATE(YEAR(B85),1,1))+YEAR(B85)-YEAR(B84)-1)</f>
        <v/>
      </c>
      <c r="F85" s="8">
        <f>K84</f>
        <v/>
      </c>
      <c r="G85" s="7">
        <f>$B$10</f>
        <v/>
      </c>
      <c r="H85" s="8">
        <f>F85*G85*E85</f>
        <v/>
      </c>
      <c r="I85" s="8">
        <f>SUM(H85:H85)</f>
        <v/>
      </c>
      <c r="J85" s="8">
        <f>$B$14-I85</f>
        <v/>
      </c>
      <c r="K85" s="8">
        <f>F85-J85</f>
        <v/>
      </c>
    </row>
    <row r="86">
      <c r="A86" t="n">
        <v>90</v>
      </c>
      <c r="B86" s="10">
        <f>MIN(DATE(YEAR($E$3),MONTH($E$3)+A86*$E$4,MIN($E$5,DAY(EOMONTH(DATE(YEAR($E$3),MONTH($E$3)+A86*$E$4,1),0)))),$B$6)</f>
        <v/>
      </c>
      <c r="C86" t="inlineStr">
        <is>
          <t>проценты, тело</t>
        </is>
      </c>
      <c r="D86">
        <f>B86-B85</f>
        <v/>
      </c>
      <c r="E86" s="11">
        <f>IF(YEAR(B85)=YEAR(B86),(B86-B85)/(DATE(YEAR(B85)+1,1,1)-DATE(YEAR(B85),1,1)),(DATE(YEAR(B85)+1,1,1)-B85)/(DATE(YEAR(B85)+1,1,1)-DATE(YEAR(B85),1,1))+(B86-DATE(YEAR(B86),1,1))/(DATE(YEAR(B86)+1,1,1)-DATE(YEAR(B86),1,1))+YEAR(B86)-YEAR(B85)-1)</f>
        <v/>
      </c>
      <c r="F86" s="8">
        <f>K85</f>
        <v/>
      </c>
      <c r="G86" s="7">
        <f>$B$10</f>
        <v/>
      </c>
      <c r="H86" s="8">
        <f>F86*G86*E86</f>
        <v/>
      </c>
      <c r="I86" s="8">
        <f>SUM(H86:H86)</f>
        <v/>
      </c>
      <c r="J86" s="8">
        <f>$B$14-I86</f>
        <v/>
      </c>
      <c r="K86" s="8">
        <f>F86-J86</f>
        <v/>
      </c>
    </row>
    <row r="87">
      <c r="A87" t="n">
        <v>91</v>
      </c>
      <c r="B87" s="10">
        <f>MIN(DATE(YEAR($E$3),MONTH($E$3)+A87*$E$4,MIN($E$5,DAY(EOMONTH(DATE(YEAR($E$3),MONTH($E$3)+A87*$E$4,1),0)))),$B$6)</f>
        <v/>
      </c>
      <c r="C87" t="inlineStr">
        <is>
          <t>проценты, тело</t>
        </is>
      </c>
      <c r="D87">
        <f>B87-B86</f>
        <v/>
      </c>
      <c r="E87" s="11">
        <f>IF(YEAR(B86)=YEAR(B87),(B87-B86)/(DATE(YEAR(B86)+1,1,1)-DATE(YEAR(B86),1,1)),(DATE(YEAR(B86)+1,1,1)-B86)/(DATE(YEAR(B86)+1,1,1)-DATE(YEAR(B86),1,1))+(B87-DATE(YEAR(B87),1,1))/(DATE(YEAR(B87)+1,1,1)-DATE(YEAR(B87),1,1))+YEAR(B87)-YEAR(B86)-1)</f>
        <v/>
      </c>
      <c r="F87" s="8">
        <f>K86</f>
        <v/>
      </c>
      <c r="G87" s="7">
        <f>$B$10</f>
        <v/>
      </c>
      <c r="H87" s="8">
        <f>F87*G87*E87</f>
        <v/>
      </c>
      <c r="I87" s="8">
        <f>SUM(H87:H87)</f>
        <v/>
      </c>
      <c r="J87" s="8">
        <f>$B$14-I87</f>
        <v/>
      </c>
      <c r="K87" s="8">
        <f>F87-J87</f>
        <v/>
      </c>
    </row>
    <row r="88">
      <c r="A88" t="n">
        <v>92</v>
      </c>
      <c r="B88" s="10">
        <f>MIN(DATE(YEAR($E$3),MONTH($E$3)+A88*$E$4,MIN($E$5,DAY(EOMONTH(DATE(YEAR($E$3),MONTH($E$3)+A88*$E$4,1),0)))),$B$6)</f>
        <v/>
      </c>
      <c r="C88" t="inlineStr">
        <is>
          <t>проценты, тело</t>
        </is>
      </c>
      <c r="D88">
        <f>B88-B87</f>
        <v/>
      </c>
      <c r="E88" s="11">
        <f>IF(YEAR(B87)=YEAR(B88),(B88-B87)/(DATE(YEAR(B87)+1,1,1)-DATE(YEAR(B87),1,1)),(DATE(YEAR(B87)+1,1,1)-B87)/(DATE(YEAR(B87)+1,1,1)-DATE(YEAR(B87),1,1))+(B88-DATE(YEAR(B88),1,1))/(DATE(YEAR(B88)+1,1,1)-DATE(YEAR(B88),1,1))+YEAR(B88)-YEAR(B87)-1)</f>
        <v/>
      </c>
      <c r="F88" s="8">
        <f>K87</f>
        <v/>
      </c>
      <c r="G88" s="7">
        <f>$B$10</f>
        <v/>
      </c>
      <c r="H88" s="8">
        <f>F88*G88*E88</f>
        <v/>
      </c>
      <c r="I88" s="8">
        <f>SUM(H88:H88)</f>
        <v/>
      </c>
      <c r="J88" s="8">
        <f>$B$14-I88</f>
        <v/>
      </c>
      <c r="K88" s="8">
        <f>F88-J88</f>
        <v/>
      </c>
    </row>
    <row r="89">
      <c r="A89" t="n">
        <v>93</v>
      </c>
      <c r="B89" s="10">
        <f>MIN(DATE(YEAR($E$3),MONTH($E$3)+A89*$E$4,MIN($E$5,DAY(EOMONTH(DATE(YEAR($E$3),MONTH($E$3)+A89*$E$4,1),0)))),$B$6)</f>
        <v/>
      </c>
      <c r="C89" t="inlineStr">
        <is>
          <t>проценты, тело</t>
        </is>
      </c>
      <c r="D89">
        <f>B89-B88</f>
        <v/>
      </c>
      <c r="E89" s="11">
        <f>IF(YEAR(B88)=YEAR(B89),(B89-B88)/(DATE(YEAR(B88)+1,1,1)-DATE(YEAR(B88),1,1)),(DATE(YEAR(B88)+1,1,1)-B88)/(DATE(YEAR(B88)+1,1,1)-DATE(YEAR(B88),1,1))+(B89-DATE(YEAR(B89),1,1))/(DATE(YEAR(B89)+1,1,1)-DATE(YEAR(B89),1,1))+YEAR(B89)-YEAR(B88)-1)</f>
        <v/>
      </c>
      <c r="F89" s="8">
        <f>K88</f>
        <v/>
      </c>
      <c r="G89" s="7">
        <f>$B$10</f>
        <v/>
      </c>
      <c r="H89" s="8">
        <f>F89*G89*E89</f>
        <v/>
      </c>
      <c r="I89" s="8">
        <f>SUM(H89:H89)</f>
        <v/>
      </c>
      <c r="J89" s="8">
        <f>$B$14-I89</f>
        <v/>
      </c>
      <c r="K89" s="8">
        <f>F89-J89</f>
        <v/>
      </c>
    </row>
    <row r="90">
      <c r="A90" t="n">
        <v>94</v>
      </c>
      <c r="B90" s="10">
        <f>MIN(DATE(YEAR($E$3),MONTH($E$3)+A90*$E$4,MIN($E$5,DAY(EOMONTH(DATE(YEAR($E$3),MONTH($E$3)+A90*$E$4,1),0)))),$B$6)</f>
        <v/>
      </c>
      <c r="C90" t="inlineStr">
        <is>
          <t>проценты, тело</t>
        </is>
      </c>
      <c r="D90">
        <f>B90-B89</f>
        <v/>
      </c>
      <c r="E90" s="11">
        <f>IF(YEAR(B89)=YEAR(B90),(B90-B89)/(DATE(YEAR(B89)+1,1,1)-DATE(YEAR(B89),1,1)),(DATE(YEAR(B89)+1,1,1)-B89)/(DATE(YEAR(B89)+1,1,1)-DATE(YEAR(B89),1,1))+(B90-DATE(YEAR(B90),1,1))/(DATE(YEAR(B90)+1,1,1)-DATE(YEAR(B90),1,1))+YEAR(B90)-YEAR(B89)-1)</f>
        <v/>
      </c>
      <c r="F90" s="8">
        <f>K89</f>
        <v/>
      </c>
      <c r="G90" s="7">
        <f>$B$10</f>
        <v/>
      </c>
      <c r="H90" s="8">
        <f>F90*G90*E90</f>
        <v/>
      </c>
      <c r="I90" s="8">
        <f>SUM(H90:H90)</f>
        <v/>
      </c>
      <c r="J90" s="8">
        <f>$B$14-I90</f>
        <v/>
      </c>
      <c r="K90" s="8">
        <f>F90-J90</f>
        <v/>
      </c>
    </row>
    <row r="91">
      <c r="A91" t="n">
        <v>95</v>
      </c>
      <c r="B91" s="10">
        <f>MIN(DATE(YEAR($E$3),MONTH($E$3)+A91*$E$4,MIN($E$5,DAY(EOMONTH(DATE(YEAR($E$3),MONTH($E$3)+A91*$E$4,1),0)))),$B$6)</f>
        <v/>
      </c>
      <c r="C91" t="inlineStr">
        <is>
          <t>проценты, тело</t>
        </is>
      </c>
      <c r="D91">
        <f>B91-B90</f>
        <v/>
      </c>
      <c r="E91" s="11">
        <f>IF(YEAR(B90)=YEAR(B91),(B91-B90)/(DATE(YEAR(B90)+1,1,1)-DATE(YEAR(B90),1,1)),(DATE(YEAR(B90)+1,1,1)-B90)/(DATE(YEAR(B90)+1,1,1)-DATE(YEAR(B90),1,1))+(B91-DATE(YEAR(B91),1,1))/(DATE(YEAR(B91)+1,1,1)-DATE(YEAR(B91),1,1))+YEAR(B91)-YEAR(B90)-1)</f>
        <v/>
      </c>
      <c r="F91" s="8">
        <f>K90</f>
        <v/>
      </c>
      <c r="G91" s="7">
        <f>$B$10</f>
        <v/>
      </c>
      <c r="H91" s="8">
        <f>F91*G91*E91</f>
        <v/>
      </c>
      <c r="I91" s="8">
        <f>SUM(H91:H91)</f>
        <v/>
      </c>
      <c r="J91" s="8">
        <f>$B$14-I91</f>
        <v/>
      </c>
      <c r="K91" s="8">
        <f>F91-J91</f>
        <v/>
      </c>
    </row>
    <row r="92">
      <c r="A92" t="n">
        <v>96</v>
      </c>
      <c r="B92" s="10">
        <f>MIN(DATE(YEAR($E$3),MONTH($E$3)+A92*$E$4,MIN($E$5,DAY(EOMONTH(DATE(YEAR($E$3),MONTH($E$3)+A92*$E$4,1),0)))),$B$6)</f>
        <v/>
      </c>
      <c r="C92" t="inlineStr">
        <is>
          <t>проценты, тело</t>
        </is>
      </c>
      <c r="D92">
        <f>B92-B91</f>
        <v/>
      </c>
      <c r="E92" s="11">
        <f>IF(YEAR(B91)=YEAR(B92),(B92-B91)/(DATE(YEAR(B91)+1,1,1)-DATE(YEAR(B91),1,1)),(DATE(YEAR(B91)+1,1,1)-B91)/(DATE(YEAR(B91)+1,1,1)-DATE(YEAR(B91),1,1))+(B92-DATE(YEAR(B92),1,1))/(DATE(YEAR(B92)+1,1,1)-DATE(YEAR(B92),1,1))+YEAR(B92)-YEAR(B91)-1)</f>
        <v/>
      </c>
      <c r="F92" s="8">
        <f>K91</f>
        <v/>
      </c>
      <c r="G92" s="7">
        <f>$B$10</f>
        <v/>
      </c>
      <c r="H92" s="8">
        <f>F92*G92*E92</f>
        <v/>
      </c>
      <c r="I92" s="8">
        <f>SUM(H92:H92)</f>
        <v/>
      </c>
      <c r="J92" s="8">
        <f>$B$14-I92</f>
        <v/>
      </c>
      <c r="K92" s="8">
        <f>F92-J92</f>
        <v/>
      </c>
    </row>
    <row r="93">
      <c r="A93" t="n">
        <v>97</v>
      </c>
      <c r="B93" s="10">
        <f>MIN(DATE(YEAR($E$3),MONTH($E$3)+A93*$E$4,MIN($E$5,DAY(EOMONTH(DATE(YEAR($E$3),MONTH($E$3)+A93*$E$4,1),0)))),$B$6)</f>
        <v/>
      </c>
      <c r="C93" t="inlineStr">
        <is>
          <t>проценты, тело</t>
        </is>
      </c>
      <c r="D93">
        <f>B93-B92</f>
        <v/>
      </c>
      <c r="E93" s="11">
        <f>IF(YEAR(B92)=YEAR(B93),(B93-B92)/(DATE(YEAR(B92)+1,1,1)-DATE(YEAR(B92),1,1)),(DATE(YEAR(B92)+1,1,1)-B92)/(DATE(YEAR(B92)+1,1,1)-DATE(YEAR(B92),1,1))+(B93-DATE(YEAR(B93),1,1))/(DATE(YEAR(B93)+1,1,1)-DATE(YEAR(B93),1,1))+YEAR(B93)-YEAR(B92)-1)</f>
        <v/>
      </c>
      <c r="F93" s="8">
        <f>K92</f>
        <v/>
      </c>
      <c r="G93" s="7">
        <f>$B$10</f>
        <v/>
      </c>
      <c r="H93" s="8">
        <f>F93*G93*E93</f>
        <v/>
      </c>
      <c r="I93" s="8">
        <f>SUM(H93:H93)</f>
        <v/>
      </c>
      <c r="J93" s="8">
        <f>$B$14-I93</f>
        <v/>
      </c>
      <c r="K93" s="8">
        <f>F93-J93</f>
        <v/>
      </c>
    </row>
    <row r="94">
      <c r="A94" t="n">
        <v>98</v>
      </c>
      <c r="B94" s="10">
        <f>MIN(DATE(YEAR($E$3),MONTH($E$3)+A94*$E$4,MIN($E$5,DAY(EOMONTH(DATE(YEAR($E$3),MONTH($E$3)+A94*$E$4,1),0)))),$B$6)</f>
        <v/>
      </c>
      <c r="C94" t="inlineStr">
        <is>
          <t>проценты, тело</t>
        </is>
      </c>
      <c r="D94">
        <f>B94-B93</f>
        <v/>
      </c>
      <c r="E94" s="11">
        <f>IF(YEAR(B93)=YEAR(B94),(B94-B93)/(DATE(YEAR(B93)+1,1,1)-DATE(YEAR(B93),1,1)),(DATE(YEAR(B93)+1,1,1)-B93)/(DATE(YEAR(B93)+1,1,1)-DATE(YEAR(B93),1,1))+(B94-DATE(YEAR(B94),1,1))/(DATE(YEAR(B94)+1,1,1)-DATE(YEAR(B94),1,1))+YEAR(B94)-YEAR(B93)-1)</f>
        <v/>
      </c>
      <c r="F94" s="8">
        <f>K93</f>
        <v/>
      </c>
      <c r="G94" s="7">
        <f>$B$10</f>
        <v/>
      </c>
      <c r="H94" s="8">
        <f>F94*G94*E94</f>
        <v/>
      </c>
      <c r="I94" s="8">
        <f>SUM(H94:H94)</f>
        <v/>
      </c>
      <c r="J94" s="8">
        <f>$B$14-I94</f>
        <v/>
      </c>
      <c r="K94" s="8">
        <f>F94-J94</f>
        <v/>
      </c>
    </row>
    <row r="95">
      <c r="A95" t="n">
        <v>99</v>
      </c>
      <c r="B95" s="10">
        <f>MIN(DATE(YEAR($E$3),MONTH($E$3)+A95*$E$4,MIN($E$5,DAY(EOMONTH(DATE(YEAR($E$3),MONTH($E$3)+A95*$E$4,1),0)))),$B$6)</f>
        <v/>
      </c>
      <c r="C95" t="inlineStr">
        <is>
          <t>проценты, тело</t>
        </is>
      </c>
      <c r="D95">
        <f>B95-B94</f>
        <v/>
      </c>
      <c r="E95" s="11">
        <f>IF(YEAR(B94)=YEAR(B95),(B95-B94)/(DATE(YEAR(B94)+1,1,1)-DATE(YEAR(B94),1,1)),(DATE(YEAR(B94)+1,1,1)-B94)/(DATE(YEAR(B94)+1,1,1)-DATE(YEAR(B94),1,1))+(B95-DATE(YEAR(B95),1,1))/(DATE(YEAR(B95)+1,1,1)-DATE(YEAR(B95),1,1))+YEAR(B95)-YEAR(B94)-1)</f>
        <v/>
      </c>
      <c r="F95" s="8">
        <f>K94</f>
        <v/>
      </c>
      <c r="G95" s="7">
        <f>$B$10</f>
        <v/>
      </c>
      <c r="H95" s="8">
        <f>F95*G95*E95</f>
        <v/>
      </c>
      <c r="I95" s="8">
        <f>SUM(H95:H95)</f>
        <v/>
      </c>
      <c r="J95" s="8">
        <f>$B$14-I95</f>
        <v/>
      </c>
      <c r="K95" s="8">
        <f>F95-J95</f>
        <v/>
      </c>
    </row>
    <row r="96">
      <c r="A96" t="n">
        <v>100</v>
      </c>
      <c r="B96" s="10">
        <f>MIN(DATE(YEAR($E$3),MONTH($E$3)+A96*$E$4,MIN($E$5,DAY(EOMONTH(DATE(YEAR($E$3),MONTH($E$3)+A96*$E$4,1),0)))),$B$6)</f>
        <v/>
      </c>
      <c r="C96" t="inlineStr">
        <is>
          <t>проценты, тело</t>
        </is>
      </c>
      <c r="D96">
        <f>B96-B95</f>
        <v/>
      </c>
      <c r="E96" s="11">
        <f>IF(YEAR(B95)=YEAR(B96),(B96-B95)/(DATE(YEAR(B95)+1,1,1)-DATE(YEAR(B95),1,1)),(DATE(YEAR(B95)+1,1,1)-B95)/(DATE(YEAR(B95)+1,1,1)-DATE(YEAR(B95),1,1))+(B96-DATE(YEAR(B96),1,1))/(DATE(YEAR(B96)+1,1,1)-DATE(YEAR(B96),1,1))+YEAR(B96)-YEAR(B95)-1)</f>
        <v/>
      </c>
      <c r="F96" s="8">
        <f>K95</f>
        <v/>
      </c>
      <c r="G96" s="7">
        <f>$B$10</f>
        <v/>
      </c>
      <c r="H96" s="8">
        <f>F96*G96*E96</f>
        <v/>
      </c>
      <c r="I96" s="8">
        <f>SUM(H96:H96)</f>
        <v/>
      </c>
      <c r="J96" s="8">
        <f>$B$14-I96</f>
        <v/>
      </c>
      <c r="K96" s="8">
        <f>F96-J96</f>
        <v/>
      </c>
    </row>
    <row r="97">
      <c r="A97" t="n">
        <v>101</v>
      </c>
      <c r="B97" s="10">
        <f>MIN(DATE(YEAR($E$3),MONTH($E$3)+A97*$E$4,MIN($E$5,DAY(EOMONTH(DATE(YEAR($E$3),MONTH($E$3)+A97*$E$4,1),0)))),$B$6)</f>
        <v/>
      </c>
      <c r="C97" t="inlineStr">
        <is>
          <t>проценты, тело</t>
        </is>
      </c>
      <c r="D97">
        <f>B97-B96</f>
        <v/>
      </c>
      <c r="E97" s="11">
        <f>IF(YEAR(B96)=YEAR(B97),(B97-B96)/(DATE(YEAR(B96)+1,1,1)-DATE(YEAR(B96),1,1)),(DATE(YEAR(B96)+1,1,1)-B96)/(DATE(YEAR(B96)+1,1,1)-DATE(YEAR(B96),1,1))+(B97-DATE(YEAR(B97),1,1))/(DATE(YEAR(B97)+1,1,1)-DATE(YEAR(B97),1,1))+YEAR(B97)-YEAR(B96)-1)</f>
        <v/>
      </c>
      <c r="F97" s="8">
        <f>K96</f>
        <v/>
      </c>
      <c r="G97" s="7">
        <f>$B$10</f>
        <v/>
      </c>
      <c r="H97" s="8">
        <f>F97*G97*E97</f>
        <v/>
      </c>
      <c r="I97" s="8">
        <f>SUM(H97:H97)</f>
        <v/>
      </c>
      <c r="J97" s="8">
        <f>$B$14-I97</f>
        <v/>
      </c>
      <c r="K97" s="8">
        <f>F97-J97</f>
        <v/>
      </c>
    </row>
    <row r="98">
      <c r="A98" t="n">
        <v>102</v>
      </c>
      <c r="B98" s="10">
        <f>MIN(DATE(YEAR($E$3),MONTH($E$3)+A98*$E$4,MIN($E$5,DAY(EOMONTH(DATE(YEAR($E$3),MONTH($E$3)+A98*$E$4,1),0)))),$B$6)</f>
        <v/>
      </c>
      <c r="C98" t="inlineStr">
        <is>
          <t>проценты, тело</t>
        </is>
      </c>
      <c r="D98">
        <f>B98-B97</f>
        <v/>
      </c>
      <c r="E98" s="11">
        <f>IF(YEAR(B97)=YEAR(B98),(B98-B97)/(DATE(YEAR(B97)+1,1,1)-DATE(YEAR(B97),1,1)),(DATE(YEAR(B97)+1,1,1)-B97)/(DATE(YEAR(B97)+1,1,1)-DATE(YEAR(B97),1,1))+(B98-DATE(YEAR(B98),1,1))/(DATE(YEAR(B98)+1,1,1)-DATE(YEAR(B98),1,1))+YEAR(B98)-YEAR(B97)-1)</f>
        <v/>
      </c>
      <c r="F98" s="8">
        <f>K97</f>
        <v/>
      </c>
      <c r="G98" s="7">
        <f>$B$10</f>
        <v/>
      </c>
      <c r="H98" s="8">
        <f>F98*G98*E98</f>
        <v/>
      </c>
      <c r="I98" s="8">
        <f>SUM(H98:H98)</f>
        <v/>
      </c>
      <c r="J98" s="8">
        <f>$B$14-I98</f>
        <v/>
      </c>
      <c r="K98" s="8">
        <f>F98-J98</f>
        <v/>
      </c>
    </row>
    <row r="99">
      <c r="A99" t="n">
        <v>103</v>
      </c>
      <c r="B99" s="10">
        <f>MIN(DATE(YEAR($E$3),MONTH($E$3)+A99*$E$4,MIN($E$5,DAY(EOMONTH(DATE(YEAR($E$3),MONTH($E$3)+A99*$E$4,1),0)))),$B$6)</f>
        <v/>
      </c>
      <c r="C99" t="inlineStr">
        <is>
          <t>проценты, тело</t>
        </is>
      </c>
      <c r="D99">
        <f>B99-B98</f>
        <v/>
      </c>
      <c r="E99" s="11">
        <f>IF(YEAR(B98)=YEAR(B99),(B99-B98)/(DATE(YEAR(B98)+1,1,1)-DATE(YEAR(B98),1,1)),(DATE(YEAR(B98)+1,1,1)-B98)/(DATE(YEAR(B98)+1,1,1)-DATE(YEAR(B98),1,1))+(B99-DATE(YEAR(B99),1,1))/(DATE(YEAR(B99)+1,1,1)-DATE(YEAR(B99),1,1))+YEAR(B99)-YEAR(B98)-1)</f>
        <v/>
      </c>
      <c r="F99" s="8">
        <f>K98</f>
        <v/>
      </c>
      <c r="G99" s="7">
        <f>$B$10</f>
        <v/>
      </c>
      <c r="H99" s="8">
        <f>F99*G99*E99</f>
        <v/>
      </c>
      <c r="I99" s="8">
        <f>SUM(H99:H99)</f>
        <v/>
      </c>
      <c r="J99" s="8">
        <f>$B$14-I99</f>
        <v/>
      </c>
      <c r="K99" s="8">
        <f>F99-J99</f>
        <v/>
      </c>
    </row>
    <row r="100">
      <c r="A100" t="n">
        <v>104</v>
      </c>
      <c r="B100" s="10">
        <f>MIN(DATE(YEAR($E$3),MONTH($E$3)+A100*$E$4,MIN($E$5,DAY(EOMONTH(DATE(YEAR($E$3),MONTH($E$3)+A100*$E$4,1),0)))),$B$6)</f>
        <v/>
      </c>
      <c r="C100" t="inlineStr">
        <is>
          <t>проценты, тело</t>
        </is>
      </c>
      <c r="D100">
        <f>B100-B99</f>
        <v/>
      </c>
      <c r="E100" s="11">
        <f>IF(YEAR(B99)=YEAR(B100),(B100-B99)/(DATE(YEAR(B99)+1,1,1)-DATE(YEAR(B99),1,1)),(DATE(YEAR(B99)+1,1,1)-B99)/(DATE(YEAR(B99)+1,1,1)-DATE(YEAR(B99),1,1))+(B100-DATE(YEAR(B100),1,1))/(DATE(YEAR(B100)+1,1,1)-DATE(YEAR(B100),1,1))+YEAR(B100)-YEAR(B99)-1)</f>
        <v/>
      </c>
      <c r="F100" s="8">
        <f>K99</f>
        <v/>
      </c>
      <c r="G100" s="7">
        <f>$B$10</f>
        <v/>
      </c>
      <c r="H100" s="8">
        <f>F100*G100*E100</f>
        <v/>
      </c>
      <c r="I100" s="8">
        <f>SUM(H100:H100)</f>
        <v/>
      </c>
      <c r="J100" s="8">
        <f>$B$14-I100</f>
        <v/>
      </c>
      <c r="K100" s="8">
        <f>F100-J100</f>
        <v/>
      </c>
    </row>
    <row r="101">
      <c r="A101" t="n">
        <v>105</v>
      </c>
      <c r="B101" s="10">
        <f>MIN(DATE(YEAR($E$3),MONTH($E$3)+A101*$E$4,MIN($E$5,DAY(EOMONTH(DATE(YEAR($E$3),MONTH($E$3)+A101*$E$4,1),0)))),$B$6)</f>
        <v/>
      </c>
      <c r="C101" t="inlineStr">
        <is>
          <t>проценты, тело</t>
        </is>
      </c>
      <c r="D101">
        <f>B101-B100</f>
        <v/>
      </c>
      <c r="E101" s="11">
        <f>IF(YEAR(B100)=YEAR(B101),(B101-B100)/(DATE(YEAR(B100)+1,1,1)-DATE(YEAR(B100),1,1)),(DATE(YEAR(B100)+1,1,1)-B100)/(DATE(YEAR(B100)+1,1,1)-DATE(YEAR(B100),1,1))+(B101-DATE(YEAR(B101),1,1))/(DATE(YEAR(B101)+1,1,1)-DATE(YEAR(B101),1,1))+YEAR(B101)-YEAR(B100)-1)</f>
        <v/>
      </c>
      <c r="F101" s="8">
        <f>K100</f>
        <v/>
      </c>
      <c r="G101" s="7">
        <f>$B$10</f>
        <v/>
      </c>
      <c r="H101" s="8">
        <f>F101*G101*E101</f>
        <v/>
      </c>
      <c r="I101" s="8">
        <f>SUM(H101:H101)</f>
        <v/>
      </c>
      <c r="J101" s="8">
        <f>$B$14-I101</f>
        <v/>
      </c>
      <c r="K101" s="8">
        <f>F101-J101</f>
        <v/>
      </c>
    </row>
    <row r="102">
      <c r="A102" t="n">
        <v>106</v>
      </c>
      <c r="B102" s="10">
        <f>MIN(DATE(YEAR($E$3),MONTH($E$3)+A102*$E$4,MIN($E$5,DAY(EOMONTH(DATE(YEAR($E$3),MONTH($E$3)+A102*$E$4,1),0)))),$B$6)</f>
        <v/>
      </c>
      <c r="C102" t="inlineStr">
        <is>
          <t>проценты, тело</t>
        </is>
      </c>
      <c r="D102">
        <f>B102-B101</f>
        <v/>
      </c>
      <c r="E102" s="11">
        <f>IF(YEAR(B101)=YEAR(B102),(B102-B101)/(DATE(YEAR(B101)+1,1,1)-DATE(YEAR(B101),1,1)),(DATE(YEAR(B101)+1,1,1)-B101)/(DATE(YEAR(B101)+1,1,1)-DATE(YEAR(B101),1,1))+(B102-DATE(YEAR(B102),1,1))/(DATE(YEAR(B102)+1,1,1)-DATE(YEAR(B102),1,1))+YEAR(B102)-YEAR(B101)-1)</f>
        <v/>
      </c>
      <c r="F102" s="8">
        <f>K101</f>
        <v/>
      </c>
      <c r="G102" s="7">
        <f>$B$10</f>
        <v/>
      </c>
      <c r="H102" s="8">
        <f>F102*G102*E102</f>
        <v/>
      </c>
      <c r="I102" s="8">
        <f>SUM(H102:H102)</f>
        <v/>
      </c>
      <c r="J102" s="8">
        <f>$B$14-I102</f>
        <v/>
      </c>
      <c r="K102" s="8">
        <f>F102-J102</f>
        <v/>
      </c>
    </row>
    <row r="103">
      <c r="A103" t="n">
        <v>107</v>
      </c>
      <c r="B103" s="10">
        <f>MIN(DATE(YEAR($E$3),MONTH($E$3)+A103*$E$4,MIN($E$5,DAY(EOMONTH(DATE(YEAR($E$3),MONTH($E$3)+A103*$E$4,1),0)))),$B$6)</f>
        <v/>
      </c>
      <c r="C103" t="inlineStr">
        <is>
          <t>проценты, тело</t>
        </is>
      </c>
      <c r="D103">
        <f>B103-B102</f>
        <v/>
      </c>
      <c r="E103" s="11">
        <f>IF(YEAR(B102)=YEAR(B103),(B103-B102)/(DATE(YEAR(B102)+1,1,1)-DATE(YEAR(B102),1,1)),(DATE(YEAR(B102)+1,1,1)-B102)/(DATE(YEAR(B102)+1,1,1)-DATE(YEAR(B102),1,1))+(B103-DATE(YEAR(B103),1,1))/(DATE(YEAR(B103)+1,1,1)-DATE(YEAR(B103),1,1))+YEAR(B103)-YEAR(B102)-1)</f>
        <v/>
      </c>
      <c r="F103" s="8">
        <f>K102</f>
        <v/>
      </c>
      <c r="G103" s="7">
        <f>$B$10</f>
        <v/>
      </c>
      <c r="H103" s="8">
        <f>F103*G103*E103</f>
        <v/>
      </c>
      <c r="I103" s="8">
        <f>SUM(H103:H103)</f>
        <v/>
      </c>
      <c r="J103" s="8">
        <f>$B$14-I103</f>
        <v/>
      </c>
      <c r="K103" s="8">
        <f>F103-J103</f>
        <v/>
      </c>
    </row>
    <row r="104">
      <c r="A104" t="n">
        <v>108</v>
      </c>
      <c r="B104" s="10">
        <f>MIN(DATE(YEAR($E$3),MONTH($E$3)+A104*$E$4,MIN($E$5,DAY(EOMONTH(DATE(YEAR($E$3),MONTH($E$3)+A104*$E$4,1),0)))),$B$6)</f>
        <v/>
      </c>
      <c r="C104" t="inlineStr">
        <is>
          <t>проценты, тело</t>
        </is>
      </c>
      <c r="D104">
        <f>B104-B103</f>
        <v/>
      </c>
      <c r="E104" s="11">
        <f>IF(YEAR(B103)=YEAR(B104),(B104-B103)/(DATE(YEAR(B103)+1,1,1)-DATE(YEAR(B103),1,1)),(DATE(YEAR(B103)+1,1,1)-B103)/(DATE(YEAR(B103)+1,1,1)-DATE(YEAR(B103),1,1))+(B104-DATE(YEAR(B104),1,1))/(DATE(YEAR(B104)+1,1,1)-DATE(YEAR(B104),1,1))+YEAR(B104)-YEAR(B103)-1)</f>
        <v/>
      </c>
      <c r="F104" s="8">
        <f>K103</f>
        <v/>
      </c>
      <c r="G104" s="7">
        <f>$B$10</f>
        <v/>
      </c>
      <c r="H104" s="8">
        <f>F104*G104*E104</f>
        <v/>
      </c>
      <c r="I104" s="8">
        <f>SUM(H104:H104)</f>
        <v/>
      </c>
      <c r="J104" s="8">
        <f>$B$14-I104</f>
        <v/>
      </c>
      <c r="K104" s="8">
        <f>F104-J104</f>
        <v/>
      </c>
    </row>
    <row r="105">
      <c r="A105" t="n">
        <v>109</v>
      </c>
      <c r="B105" s="10">
        <f>MIN(DATE(YEAR($E$3),MONTH($E$3)+A105*$E$4,MIN($E$5,DAY(EOMONTH(DATE(YEAR($E$3),MONTH($E$3)+A105*$E$4,1),0)))),$B$6)</f>
        <v/>
      </c>
      <c r="C105" t="inlineStr">
        <is>
          <t>проценты, тело</t>
        </is>
      </c>
      <c r="D105">
        <f>B105-B104</f>
        <v/>
      </c>
      <c r="E105" s="11">
        <f>IF(YEAR(B104)=YEAR(B105),(B105-B104)/(DATE(YEAR(B104)+1,1,1)-DATE(YEAR(B104),1,1)),(DATE(YEAR(B104)+1,1,1)-B104)/(DATE(YEAR(B104)+1,1,1)-DATE(YEAR(B104),1,1))+(B105-DATE(YEAR(B105),1,1))/(DATE(YEAR(B105)+1,1,1)-DATE(YEAR(B105),1,1))+YEAR(B105)-YEAR(B104)-1)</f>
        <v/>
      </c>
      <c r="F105" s="8">
        <f>K104</f>
        <v/>
      </c>
      <c r="G105" s="7">
        <f>$B$10</f>
        <v/>
      </c>
      <c r="H105" s="8">
        <f>F105*G105*E105</f>
        <v/>
      </c>
      <c r="I105" s="8">
        <f>SUM(H105:H105)</f>
        <v/>
      </c>
      <c r="J105" s="8">
        <f>$B$14-I105</f>
        <v/>
      </c>
      <c r="K105" s="8">
        <f>F105-J105</f>
        <v/>
      </c>
    </row>
    <row r="106">
      <c r="A106" t="n">
        <v>110</v>
      </c>
      <c r="B106" s="10">
        <f>MIN(DATE(YEAR($E$3),MONTH($E$3)+A106*$E$4,MIN($E$5,DAY(EOMONTH(DATE(YEAR($E$3),MONTH($E$3)+A106*$E$4,1),0)))),$B$6)</f>
        <v/>
      </c>
      <c r="C106" t="inlineStr">
        <is>
          <t>проценты, тело</t>
        </is>
      </c>
      <c r="D106">
        <f>B106-B105</f>
        <v/>
      </c>
      <c r="E106" s="11">
        <f>IF(YEAR(B105)=YEAR(B106),(B106-B105)/(DATE(YEAR(B105)+1,1,1)-DATE(YEAR(B105),1,1)),(DATE(YEAR(B105)+1,1,1)-B105)/(DATE(YEAR(B105)+1,1,1)-DATE(YEAR(B105),1,1))+(B106-DATE(YEAR(B106),1,1))/(DATE(YEAR(B106)+1,1,1)-DATE(YEAR(B106),1,1))+YEAR(B106)-YEAR(B105)-1)</f>
        <v/>
      </c>
      <c r="F106" s="8">
        <f>K105</f>
        <v/>
      </c>
      <c r="G106" s="7">
        <f>$B$10</f>
        <v/>
      </c>
      <c r="H106" s="8">
        <f>F106*G106*E106</f>
        <v/>
      </c>
      <c r="I106" s="8">
        <f>SUM(H106:H106)</f>
        <v/>
      </c>
      <c r="J106" s="8">
        <f>$B$14-I106</f>
        <v/>
      </c>
      <c r="K106" s="8">
        <f>F106-J106</f>
        <v/>
      </c>
    </row>
    <row r="107">
      <c r="A107" t="n">
        <v>111</v>
      </c>
      <c r="B107" s="10">
        <f>MIN(DATE(YEAR($E$3),MONTH($E$3)+A107*$E$4,MIN($E$5,DAY(EOMONTH(DATE(YEAR($E$3),MONTH($E$3)+A107*$E$4,1),0)))),$B$6)</f>
        <v/>
      </c>
      <c r="C107" t="inlineStr">
        <is>
          <t>проценты, тело</t>
        </is>
      </c>
      <c r="D107">
        <f>B107-B106</f>
        <v/>
      </c>
      <c r="E107" s="11">
        <f>IF(YEAR(B106)=YEAR(B107),(B107-B106)/(DATE(YEAR(B106)+1,1,1)-DATE(YEAR(B106),1,1)),(DATE(YEAR(B106)+1,1,1)-B106)/(DATE(YEAR(B106)+1,1,1)-DATE(YEAR(B106),1,1))+(B107-DATE(YEAR(B107),1,1))/(DATE(YEAR(B107)+1,1,1)-DATE(YEAR(B107),1,1))+YEAR(B107)-YEAR(B106)-1)</f>
        <v/>
      </c>
      <c r="F107" s="8">
        <f>K106</f>
        <v/>
      </c>
      <c r="G107" s="7">
        <f>$B$10</f>
        <v/>
      </c>
      <c r="H107" s="8">
        <f>F107*G107*E107</f>
        <v/>
      </c>
      <c r="I107" s="8">
        <f>SUM(H107:H107)</f>
        <v/>
      </c>
      <c r="J107" s="8">
        <f>$B$14-I107</f>
        <v/>
      </c>
      <c r="K107" s="8">
        <f>F107-J107</f>
        <v/>
      </c>
    </row>
    <row r="108">
      <c r="A108" t="n">
        <v>112</v>
      </c>
      <c r="B108" s="10">
        <f>MIN(DATE(YEAR($E$3),MONTH($E$3)+A108*$E$4,MIN($E$5,DAY(EOMONTH(DATE(YEAR($E$3),MONTH($E$3)+A108*$E$4,1),0)))),$B$6)</f>
        <v/>
      </c>
      <c r="C108" t="inlineStr">
        <is>
          <t>проценты, тело</t>
        </is>
      </c>
      <c r="D108">
        <f>B108-B107</f>
        <v/>
      </c>
      <c r="E108" s="11">
        <f>IF(YEAR(B107)=YEAR(B108),(B108-B107)/(DATE(YEAR(B107)+1,1,1)-DATE(YEAR(B107),1,1)),(DATE(YEAR(B107)+1,1,1)-B107)/(DATE(YEAR(B107)+1,1,1)-DATE(YEAR(B107),1,1))+(B108-DATE(YEAR(B108),1,1))/(DATE(YEAR(B108)+1,1,1)-DATE(YEAR(B108),1,1))+YEAR(B108)-YEAR(B107)-1)</f>
        <v/>
      </c>
      <c r="F108" s="8">
        <f>K107</f>
        <v/>
      </c>
      <c r="G108" s="7">
        <f>$B$10</f>
        <v/>
      </c>
      <c r="H108" s="8">
        <f>F108*G108*E108</f>
        <v/>
      </c>
      <c r="I108" s="8">
        <f>SUM(H108:H108)</f>
        <v/>
      </c>
      <c r="J108" s="8">
        <f>$B$14-I108</f>
        <v/>
      </c>
      <c r="K108" s="8">
        <f>F108-J108</f>
        <v/>
      </c>
    </row>
    <row r="109">
      <c r="A109" t="n">
        <v>113</v>
      </c>
      <c r="B109" s="10">
        <f>MIN(DATE(YEAR($E$3),MONTH($E$3)+A109*$E$4,MIN($E$5,DAY(EOMONTH(DATE(YEAR($E$3),MONTH($E$3)+A109*$E$4,1),0)))),$B$6)</f>
        <v/>
      </c>
      <c r="C109" t="inlineStr">
        <is>
          <t>проценты, тело</t>
        </is>
      </c>
      <c r="D109">
        <f>B109-B108</f>
        <v/>
      </c>
      <c r="E109" s="11">
        <f>IF(YEAR(B108)=YEAR(B109),(B109-B108)/(DATE(YEAR(B108)+1,1,1)-DATE(YEAR(B108),1,1)),(DATE(YEAR(B108)+1,1,1)-B108)/(DATE(YEAR(B108)+1,1,1)-DATE(YEAR(B108),1,1))+(B109-DATE(YEAR(B109),1,1))/(DATE(YEAR(B109)+1,1,1)-DATE(YEAR(B109),1,1))+YEAR(B109)-YEAR(B108)-1)</f>
        <v/>
      </c>
      <c r="F109" s="8">
        <f>K108</f>
        <v/>
      </c>
      <c r="G109" s="7">
        <f>$B$10</f>
        <v/>
      </c>
      <c r="H109" s="8">
        <f>F109*G109*E109</f>
        <v/>
      </c>
      <c r="I109" s="8">
        <f>SUM(H109:H109)</f>
        <v/>
      </c>
      <c r="J109" s="8">
        <f>$B$14-I109</f>
        <v/>
      </c>
      <c r="K109" s="8">
        <f>F109-J109</f>
        <v/>
      </c>
    </row>
    <row r="110">
      <c r="A110" t="n">
        <v>114</v>
      </c>
      <c r="B110" s="10">
        <f>MIN(DATE(YEAR($E$3),MONTH($E$3)+A110*$E$4,MIN($E$5,DAY(EOMONTH(DATE(YEAR($E$3),MONTH($E$3)+A110*$E$4,1),0)))),$B$6)</f>
        <v/>
      </c>
      <c r="C110" t="inlineStr">
        <is>
          <t>проценты, тело</t>
        </is>
      </c>
      <c r="D110">
        <f>B110-B109</f>
        <v/>
      </c>
      <c r="E110" s="11">
        <f>IF(YEAR(B109)=YEAR(B110),(B110-B109)/(DATE(YEAR(B109)+1,1,1)-DATE(YEAR(B109),1,1)),(DATE(YEAR(B109)+1,1,1)-B109)/(DATE(YEAR(B109)+1,1,1)-DATE(YEAR(B109),1,1))+(B110-DATE(YEAR(B110),1,1))/(DATE(YEAR(B110)+1,1,1)-DATE(YEAR(B110),1,1))+YEAR(B110)-YEAR(B109)-1)</f>
        <v/>
      </c>
      <c r="F110" s="8">
        <f>K109</f>
        <v/>
      </c>
      <c r="G110" s="7">
        <f>$B$10</f>
        <v/>
      </c>
      <c r="H110" s="8">
        <f>F110*G110*E110</f>
        <v/>
      </c>
      <c r="I110" s="8">
        <f>SUM(H110:H110)</f>
        <v/>
      </c>
      <c r="J110" s="8">
        <f>$B$14-I110</f>
        <v/>
      </c>
      <c r="K110" s="8">
        <f>F110-J110</f>
        <v/>
      </c>
    </row>
    <row r="111">
      <c r="A111" t="n">
        <v>115</v>
      </c>
      <c r="B111" s="10">
        <f>MIN(DATE(YEAR($E$3),MONTH($E$3)+A111*$E$4,MIN($E$5,DAY(EOMONTH(DATE(YEAR($E$3),MONTH($E$3)+A111*$E$4,1),0)))),$B$6)</f>
        <v/>
      </c>
      <c r="C111" t="inlineStr">
        <is>
          <t>проценты, тело</t>
        </is>
      </c>
      <c r="D111">
        <f>B111-B110</f>
        <v/>
      </c>
      <c r="E111" s="11">
        <f>IF(YEAR(B110)=YEAR(B111),(B111-B110)/(DATE(YEAR(B110)+1,1,1)-DATE(YEAR(B110),1,1)),(DATE(YEAR(B110)+1,1,1)-B110)/(DATE(YEAR(B110)+1,1,1)-DATE(YEAR(B110),1,1))+(B111-DATE(YEAR(B111),1,1))/(DATE(YEAR(B111)+1,1,1)-DATE(YEAR(B111),1,1))+YEAR(B111)-YEAR(B110)-1)</f>
        <v/>
      </c>
      <c r="F111" s="8">
        <f>K110</f>
        <v/>
      </c>
      <c r="G111" s="7">
        <f>$B$10</f>
        <v/>
      </c>
      <c r="H111" s="8">
        <f>F111*G111*E111</f>
        <v/>
      </c>
      <c r="I111" s="8">
        <f>SUM(H111:H111)</f>
        <v/>
      </c>
      <c r="J111" s="8">
        <f>$B$14-I111</f>
        <v/>
      </c>
      <c r="K111" s="8">
        <f>F111-J111</f>
        <v/>
      </c>
    </row>
    <row r="112">
      <c r="A112" t="n">
        <v>116</v>
      </c>
      <c r="B112" s="10">
        <f>MIN(DATE(YEAR($E$3),MONTH($E$3)+A112*$E$4,MIN($E$5,DAY(EOMONTH(DATE(YEAR($E$3),MONTH($E$3)+A112*$E$4,1),0)))),$B$6)</f>
        <v/>
      </c>
      <c r="C112" t="inlineStr">
        <is>
          <t>проценты, тело</t>
        </is>
      </c>
      <c r="D112">
        <f>B112-B111</f>
        <v/>
      </c>
      <c r="E112" s="11">
        <f>IF(YEAR(B111)=YEAR(B112),(B112-B111)/(DATE(YEAR(B111)+1,1,1)-DATE(YEAR(B111),1,1)),(DATE(YEAR(B111)+1,1,1)-B111)/(DATE(YEAR(B111)+1,1,1)-DATE(YEAR(B111),1,1))+(B112-DATE(YEAR(B112),1,1))/(DATE(YEAR(B112)+1,1,1)-DATE(YEAR(B112),1,1))+YEAR(B112)-YEAR(B111)-1)</f>
        <v/>
      </c>
      <c r="F112" s="8">
        <f>K111</f>
        <v/>
      </c>
      <c r="G112" s="7">
        <f>$B$10</f>
        <v/>
      </c>
      <c r="H112" s="8">
        <f>F112*G112*E112</f>
        <v/>
      </c>
      <c r="I112" s="8">
        <f>SUM(H112:H112)</f>
        <v/>
      </c>
      <c r="J112" s="8">
        <f>$B$14-I112</f>
        <v/>
      </c>
      <c r="K112" s="8">
        <f>F112-J112</f>
        <v/>
      </c>
    </row>
    <row r="113">
      <c r="A113" t="n">
        <v>117</v>
      </c>
      <c r="B113" s="10">
        <f>MIN(DATE(YEAR($E$3),MONTH($E$3)+A113*$E$4,MIN($E$5,DAY(EOMONTH(DATE(YEAR($E$3),MONTH($E$3)+A113*$E$4,1),0)))),$B$6)</f>
        <v/>
      </c>
      <c r="C113" t="inlineStr">
        <is>
          <t>проценты, тело</t>
        </is>
      </c>
      <c r="D113">
        <f>B113-B112</f>
        <v/>
      </c>
      <c r="E113" s="11">
        <f>IF(YEAR(B112)=YEAR(B113),(B113-B112)/(DATE(YEAR(B112)+1,1,1)-DATE(YEAR(B112),1,1)),(DATE(YEAR(B112)+1,1,1)-B112)/(DATE(YEAR(B112)+1,1,1)-DATE(YEAR(B112),1,1))+(B113-DATE(YEAR(B113),1,1))/(DATE(YEAR(B113)+1,1,1)-DATE(YEAR(B113),1,1))+YEAR(B113)-YEAR(B112)-1)</f>
        <v/>
      </c>
      <c r="F113" s="8">
        <f>K112</f>
        <v/>
      </c>
      <c r="G113" s="7">
        <f>$B$10</f>
        <v/>
      </c>
      <c r="H113" s="8">
        <f>F113*G113*E113</f>
        <v/>
      </c>
      <c r="I113" s="8">
        <f>SUM(H113:H113)</f>
        <v/>
      </c>
      <c r="J113" s="8">
        <f>$B$14-I113</f>
        <v/>
      </c>
      <c r="K113" s="8">
        <f>F113-J113</f>
        <v/>
      </c>
    </row>
    <row r="114">
      <c r="A114" t="n">
        <v>118</v>
      </c>
      <c r="B114" s="10">
        <f>MIN(DATE(YEAR($E$3),MONTH($E$3)+A114*$E$4,MIN($E$5,DAY(EOMONTH(DATE(YEAR($E$3),MONTH($E$3)+A114*$E$4,1),0)))),$B$6)</f>
        <v/>
      </c>
      <c r="C114" t="inlineStr">
        <is>
          <t>проценты, тело</t>
        </is>
      </c>
      <c r="D114">
        <f>B114-B113</f>
        <v/>
      </c>
      <c r="E114" s="11">
        <f>IF(YEAR(B113)=YEAR(B114),(B114-B113)/(DATE(YEAR(B113)+1,1,1)-DATE(YEAR(B113),1,1)),(DATE(YEAR(B113)+1,1,1)-B113)/(DATE(YEAR(B113)+1,1,1)-DATE(YEAR(B113),1,1))+(B114-DATE(YEAR(B114),1,1))/(DATE(YEAR(B114)+1,1,1)-DATE(YEAR(B114),1,1))+YEAR(B114)-YEAR(B113)-1)</f>
        <v/>
      </c>
      <c r="F114" s="8">
        <f>K113</f>
        <v/>
      </c>
      <c r="G114" s="7">
        <f>$B$10</f>
        <v/>
      </c>
      <c r="H114" s="8">
        <f>F114*G114*E114</f>
        <v/>
      </c>
      <c r="I114" s="8">
        <f>SUM(H114:H114)</f>
        <v/>
      </c>
      <c r="J114" s="8">
        <f>$B$14-I114</f>
        <v/>
      </c>
      <c r="K114" s="8">
        <f>F114-J114</f>
        <v/>
      </c>
    </row>
    <row r="115">
      <c r="A115" t="n">
        <v>119</v>
      </c>
      <c r="B115" s="10">
        <f>MIN(DATE(YEAR($E$3),MONTH($E$3)+A115*$E$4,MIN($E$5,DAY(EOMONTH(DATE(YEAR($E$3),MONTH($E$3)+A115*$E$4,1),0)))),$B$6)</f>
        <v/>
      </c>
      <c r="C115" t="inlineStr">
        <is>
          <t>проценты, тело</t>
        </is>
      </c>
      <c r="D115">
        <f>B115-B114</f>
        <v/>
      </c>
      <c r="E115" s="11">
        <f>IF(YEAR(B114)=YEAR(B115),(B115-B114)/(DATE(YEAR(B114)+1,1,1)-DATE(YEAR(B114),1,1)),(DATE(YEAR(B114)+1,1,1)-B114)/(DATE(YEAR(B114)+1,1,1)-DATE(YEAR(B114),1,1))+(B115-DATE(YEAR(B115),1,1))/(DATE(YEAR(B115)+1,1,1)-DATE(YEAR(B115),1,1))+YEAR(B115)-YEAR(B114)-1)</f>
        <v/>
      </c>
      <c r="F115" s="8">
        <f>K114</f>
        <v/>
      </c>
      <c r="G115" s="7">
        <f>$B$10</f>
        <v/>
      </c>
      <c r="H115" s="8">
        <f>F115*G115*E115</f>
        <v/>
      </c>
      <c r="I115" s="8">
        <f>SUM(H115:H115)</f>
        <v/>
      </c>
      <c r="J115" s="8">
        <f>$B$14-I115</f>
        <v/>
      </c>
      <c r="K115" s="8">
        <f>F115-J115</f>
        <v/>
      </c>
    </row>
    <row r="116">
      <c r="A116" t="n">
        <v>120</v>
      </c>
      <c r="B116" s="10">
        <f>MIN(DATE(YEAR($E$3),MONTH($E$3)+A116*$E$4,MIN($E$5,DAY(EOMONTH(DATE(YEAR($E$3),MONTH($E$3)+A116*$E$4,1),0)))),$B$6)</f>
        <v/>
      </c>
      <c r="C116" t="inlineStr">
        <is>
          <t>проценты, тело</t>
        </is>
      </c>
      <c r="D116">
        <f>B116-B115</f>
        <v/>
      </c>
      <c r="E116" s="11">
        <f>IF(YEAR(B115)=YEAR(B116),(B116-B115)/(DATE(YEAR(B115)+1,1,1)-DATE(YEAR(B115),1,1)),(DATE(YEAR(B115)+1,1,1)-B115)/(DATE(YEAR(B115)+1,1,1)-DATE(YEAR(B115),1,1))+(B116-DATE(YEAR(B116),1,1))/(DATE(YEAR(B116)+1,1,1)-DATE(YEAR(B116),1,1))+YEAR(B116)-YEAR(B115)-1)</f>
        <v/>
      </c>
      <c r="F116" s="8">
        <f>K115</f>
        <v/>
      </c>
      <c r="G116" s="7">
        <f>$B$10</f>
        <v/>
      </c>
      <c r="H116" s="8">
        <f>F116*G116*E116</f>
        <v/>
      </c>
      <c r="I116" s="8">
        <f>SUM(H116:H116)</f>
        <v/>
      </c>
      <c r="J116" s="8">
        <f>$B$14-I116</f>
        <v/>
      </c>
      <c r="K116" s="8">
        <f>F116-J116</f>
        <v/>
      </c>
    </row>
    <row r="117">
      <c r="A117" t="n">
        <v>121</v>
      </c>
      <c r="B117" s="10">
        <f>MIN(DATE(YEAR($E$3),MONTH($E$3)+A117*$E$4,MIN($E$5,DAY(EOMONTH(DATE(YEAR($E$3),MONTH($E$3)+A117*$E$4,1),0)))),$B$6)</f>
        <v/>
      </c>
      <c r="C117" t="inlineStr">
        <is>
          <t>проценты, тело</t>
        </is>
      </c>
      <c r="D117">
        <f>B117-B116</f>
        <v/>
      </c>
      <c r="E117" s="11">
        <f>IF(YEAR(B116)=YEAR(B117),(B117-B116)/(DATE(YEAR(B116)+1,1,1)-DATE(YEAR(B116),1,1)),(DATE(YEAR(B116)+1,1,1)-B116)/(DATE(YEAR(B116)+1,1,1)-DATE(YEAR(B116),1,1))+(B117-DATE(YEAR(B117),1,1))/(DATE(YEAR(B117)+1,1,1)-DATE(YEAR(B117),1,1))+YEAR(B117)-YEAR(B116)-1)</f>
        <v/>
      </c>
      <c r="F117" s="8">
        <f>K116</f>
        <v/>
      </c>
      <c r="G117" s="7">
        <f>$B$10</f>
        <v/>
      </c>
      <c r="H117" s="8">
        <f>F117*G117*E117</f>
        <v/>
      </c>
      <c r="I117" s="8">
        <f>SUM(H117:H117)</f>
        <v/>
      </c>
      <c r="J117" s="8">
        <f>$B$14-I117</f>
        <v/>
      </c>
      <c r="K117" s="8">
        <f>F117-J117</f>
        <v/>
      </c>
    </row>
    <row r="118">
      <c r="A118" t="n">
        <v>122</v>
      </c>
      <c r="B118" s="10">
        <f>MIN(DATE(YEAR($E$3),MONTH($E$3)+A118*$E$4,MIN($E$5,DAY(EOMONTH(DATE(YEAR($E$3),MONTH($E$3)+A118*$E$4,1),0)))),$B$6)</f>
        <v/>
      </c>
      <c r="C118" t="inlineStr">
        <is>
          <t>проценты, тело</t>
        </is>
      </c>
      <c r="D118">
        <f>B118-B117</f>
        <v/>
      </c>
      <c r="E118" s="11">
        <f>IF(YEAR(B117)=YEAR(B118),(B118-B117)/(DATE(YEAR(B117)+1,1,1)-DATE(YEAR(B117),1,1)),(DATE(YEAR(B117)+1,1,1)-B117)/(DATE(YEAR(B117)+1,1,1)-DATE(YEAR(B117),1,1))+(B118-DATE(YEAR(B118),1,1))/(DATE(YEAR(B118)+1,1,1)-DATE(YEAR(B118),1,1))+YEAR(B118)-YEAR(B117)-1)</f>
        <v/>
      </c>
      <c r="F118" s="8">
        <f>K117</f>
        <v/>
      </c>
      <c r="G118" s="7">
        <f>$B$10</f>
        <v/>
      </c>
      <c r="H118" s="8">
        <f>F118*G118*E118</f>
        <v/>
      </c>
      <c r="I118" s="8">
        <f>SUM(H118:H118)</f>
        <v/>
      </c>
      <c r="J118" s="8">
        <f>$B$14-I118</f>
        <v/>
      </c>
      <c r="K118" s="8">
        <f>F118-J118</f>
        <v/>
      </c>
    </row>
    <row r="119">
      <c r="A119" t="n">
        <v>123</v>
      </c>
      <c r="B119" s="10">
        <f>MIN(DATE(YEAR($E$3),MONTH($E$3)+A119*$E$4,MIN($E$5,DAY(EOMONTH(DATE(YEAR($E$3),MONTH($E$3)+A119*$E$4,1),0)))),$B$6)</f>
        <v/>
      </c>
      <c r="C119" t="inlineStr">
        <is>
          <t>проценты, тело</t>
        </is>
      </c>
      <c r="D119">
        <f>B119-B118</f>
        <v/>
      </c>
      <c r="E119" s="11">
        <f>IF(YEAR(B118)=YEAR(B119),(B119-B118)/(DATE(YEAR(B118)+1,1,1)-DATE(YEAR(B118),1,1)),(DATE(YEAR(B118)+1,1,1)-B118)/(DATE(YEAR(B118)+1,1,1)-DATE(YEAR(B118),1,1))+(B119-DATE(YEAR(B119),1,1))/(DATE(YEAR(B119)+1,1,1)-DATE(YEAR(B119),1,1))+YEAR(B119)-YEAR(B118)-1)</f>
        <v/>
      </c>
      <c r="F119" s="8">
        <f>K118</f>
        <v/>
      </c>
      <c r="G119" s="7">
        <f>$B$10</f>
        <v/>
      </c>
      <c r="H119" s="8">
        <f>F119*G119*E119</f>
        <v/>
      </c>
      <c r="I119" s="8">
        <f>SUM(H119:H119)</f>
        <v/>
      </c>
      <c r="J119" s="8">
        <f>$B$14-I119</f>
        <v/>
      </c>
      <c r="K119" s="8">
        <f>F119-J119</f>
        <v/>
      </c>
    </row>
    <row r="120">
      <c r="A120" t="n">
        <v>124</v>
      </c>
      <c r="B120" s="10">
        <f>MIN(DATE(YEAR($E$3),MONTH($E$3)+A120*$E$4,MIN($E$5,DAY(EOMONTH(DATE(YEAR($E$3),MONTH($E$3)+A120*$E$4,1),0)))),$B$6)</f>
        <v/>
      </c>
      <c r="C120" t="inlineStr">
        <is>
          <t>проценты, тело</t>
        </is>
      </c>
      <c r="D120">
        <f>B120-B119</f>
        <v/>
      </c>
      <c r="E120" s="11">
        <f>IF(YEAR(B119)=YEAR(B120),(B120-B119)/(DATE(YEAR(B119)+1,1,1)-DATE(YEAR(B119),1,1)),(DATE(YEAR(B119)+1,1,1)-B119)/(DATE(YEAR(B119)+1,1,1)-DATE(YEAR(B119),1,1))+(B120-DATE(YEAR(B120),1,1))/(DATE(YEAR(B120)+1,1,1)-DATE(YEAR(B120),1,1))+YEAR(B120)-YEAR(B119)-1)</f>
        <v/>
      </c>
      <c r="F120" s="8">
        <f>K119</f>
        <v/>
      </c>
      <c r="G120" s="7">
        <f>$B$10</f>
        <v/>
      </c>
      <c r="H120" s="8">
        <f>F120*G120*E120</f>
        <v/>
      </c>
      <c r="I120" s="8">
        <f>SUM(H120:H120)</f>
        <v/>
      </c>
      <c r="J120" s="8">
        <f>$B$14-I120</f>
        <v/>
      </c>
      <c r="K120" s="8">
        <f>F120-J120</f>
        <v/>
      </c>
    </row>
    <row r="121">
      <c r="A121" t="n">
        <v>125</v>
      </c>
      <c r="B121" s="10">
        <f>MIN(DATE(YEAR($E$3),MONTH($E$3)+A121*$E$4,MIN($E$5,DAY(EOMONTH(DATE(YEAR($E$3),MONTH($E$3)+A121*$E$4,1),0)))),$B$6)</f>
        <v/>
      </c>
      <c r="C121" t="inlineStr">
        <is>
          <t>проценты, тело</t>
        </is>
      </c>
      <c r="D121">
        <f>B121-B120</f>
        <v/>
      </c>
      <c r="E121" s="11">
        <f>IF(YEAR(B120)=YEAR(B121),(B121-B120)/(DATE(YEAR(B120)+1,1,1)-DATE(YEAR(B120),1,1)),(DATE(YEAR(B120)+1,1,1)-B120)/(DATE(YEAR(B120)+1,1,1)-DATE(YEAR(B120),1,1))+(B121-DATE(YEAR(B121),1,1))/(DATE(YEAR(B121)+1,1,1)-DATE(YEAR(B121),1,1))+YEAR(B121)-YEAR(B120)-1)</f>
        <v/>
      </c>
      <c r="F121" s="8">
        <f>K120</f>
        <v/>
      </c>
      <c r="G121" s="7">
        <f>$B$10</f>
        <v/>
      </c>
      <c r="H121" s="8">
        <f>F121*G121*E121</f>
        <v/>
      </c>
      <c r="I121" s="8">
        <f>SUM(H121:H121)</f>
        <v/>
      </c>
      <c r="J121" s="8">
        <f>$B$14-I121</f>
        <v/>
      </c>
      <c r="K121" s="8">
        <f>F121-J121</f>
        <v/>
      </c>
    </row>
    <row r="122">
      <c r="A122" t="n">
        <v>126</v>
      </c>
      <c r="B122" s="10">
        <f>MIN(DATE(YEAR($E$3),MONTH($E$3)+A122*$E$4,MIN($E$5,DAY(EOMONTH(DATE(YEAR($E$3),MONTH($E$3)+A122*$E$4,1),0)))),$B$6)</f>
        <v/>
      </c>
      <c r="C122" t="inlineStr">
        <is>
          <t>проценты, тело</t>
        </is>
      </c>
      <c r="D122">
        <f>B122-B121</f>
        <v/>
      </c>
      <c r="E122" s="11">
        <f>IF(YEAR(B121)=YEAR(B122),(B122-B121)/(DATE(YEAR(B121)+1,1,1)-DATE(YEAR(B121),1,1)),(DATE(YEAR(B121)+1,1,1)-B121)/(DATE(YEAR(B121)+1,1,1)-DATE(YEAR(B121),1,1))+(B122-DATE(YEAR(B122),1,1))/(DATE(YEAR(B122)+1,1,1)-DATE(YEAR(B122),1,1))+YEAR(B122)-YEAR(B121)-1)</f>
        <v/>
      </c>
      <c r="F122" s="8">
        <f>K121</f>
        <v/>
      </c>
      <c r="G122" s="7">
        <f>$B$10</f>
        <v/>
      </c>
      <c r="H122" s="8">
        <f>F122*G122*E122</f>
        <v/>
      </c>
      <c r="I122" s="8">
        <f>SUM(H122:H122)</f>
        <v/>
      </c>
      <c r="J122" s="8">
        <f>$B$14-I122</f>
        <v/>
      </c>
      <c r="K122" s="8">
        <f>F122-J122</f>
        <v/>
      </c>
    </row>
    <row r="123">
      <c r="A123" t="n">
        <v>127</v>
      </c>
      <c r="B123" s="10">
        <f>MIN(DATE(YEAR($E$3),MONTH($E$3)+A123*$E$4,MIN($E$5,DAY(EOMONTH(DATE(YEAR($E$3),MONTH($E$3)+A123*$E$4,1),0)))),$B$6)</f>
        <v/>
      </c>
      <c r="C123" t="inlineStr">
        <is>
          <t>проценты, тело</t>
        </is>
      </c>
      <c r="D123">
        <f>B123-B122</f>
        <v/>
      </c>
      <c r="E123" s="11">
        <f>IF(YEAR(B122)=YEAR(B123),(B123-B122)/(DATE(YEAR(B122)+1,1,1)-DATE(YEAR(B122),1,1)),(DATE(YEAR(B122)+1,1,1)-B122)/(DATE(YEAR(B122)+1,1,1)-DATE(YEAR(B122),1,1))+(B123-DATE(YEAR(B123),1,1))/(DATE(YEAR(B123)+1,1,1)-DATE(YEAR(B123),1,1))+YEAR(B123)-YEAR(B122)-1)</f>
        <v/>
      </c>
      <c r="F123" s="8">
        <f>K122</f>
        <v/>
      </c>
      <c r="G123" s="7">
        <f>$B$10</f>
        <v/>
      </c>
      <c r="H123" s="8">
        <f>F123*G123*E123</f>
        <v/>
      </c>
      <c r="I123" s="8">
        <f>SUM(H123:H123)</f>
        <v/>
      </c>
      <c r="J123" s="8">
        <f>$B$14-I123</f>
        <v/>
      </c>
      <c r="K123" s="8">
        <f>F123-J123</f>
        <v/>
      </c>
    </row>
    <row r="124">
      <c r="A124" t="n">
        <v>128</v>
      </c>
      <c r="B124" s="10">
        <f>MIN(DATE(YEAR($E$3),MONTH($E$3)+A124*$E$4,MIN($E$5,DAY(EOMONTH(DATE(YEAR($E$3),MONTH($E$3)+A124*$E$4,1),0)))),$B$6)</f>
        <v/>
      </c>
      <c r="C124" t="inlineStr">
        <is>
          <t>проценты, тело</t>
        </is>
      </c>
      <c r="D124">
        <f>B124-B123</f>
        <v/>
      </c>
      <c r="E124" s="11">
        <f>IF(YEAR(B123)=YEAR(B124),(B124-B123)/(DATE(YEAR(B123)+1,1,1)-DATE(YEAR(B123),1,1)),(DATE(YEAR(B123)+1,1,1)-B123)/(DATE(YEAR(B123)+1,1,1)-DATE(YEAR(B123),1,1))+(B124-DATE(YEAR(B124),1,1))/(DATE(YEAR(B124)+1,1,1)-DATE(YEAR(B124),1,1))+YEAR(B124)-YEAR(B123)-1)</f>
        <v/>
      </c>
      <c r="F124" s="8">
        <f>K123</f>
        <v/>
      </c>
      <c r="G124" s="7">
        <f>$B$10</f>
        <v/>
      </c>
      <c r="H124" s="8">
        <f>F124*G124*E124</f>
        <v/>
      </c>
      <c r="I124" s="8">
        <f>SUM(H124:H124)</f>
        <v/>
      </c>
      <c r="J124" s="8">
        <f>$B$14-I124</f>
        <v/>
      </c>
      <c r="K124" s="8">
        <f>F124-J124</f>
        <v/>
      </c>
    </row>
    <row r="125">
      <c r="A125" t="n">
        <v>129</v>
      </c>
      <c r="B125" s="10">
        <f>MIN(DATE(YEAR($E$3),MONTH($E$3)+A125*$E$4,MIN($E$5,DAY(EOMONTH(DATE(YEAR($E$3),MONTH($E$3)+A125*$E$4,1),0)))),$B$6)</f>
        <v/>
      </c>
      <c r="C125" t="inlineStr">
        <is>
          <t>проценты, тело</t>
        </is>
      </c>
      <c r="D125">
        <f>B125-B124</f>
        <v/>
      </c>
      <c r="E125" s="11">
        <f>IF(YEAR(B124)=YEAR(B125),(B125-B124)/(DATE(YEAR(B124)+1,1,1)-DATE(YEAR(B124),1,1)),(DATE(YEAR(B124)+1,1,1)-B124)/(DATE(YEAR(B124)+1,1,1)-DATE(YEAR(B124),1,1))+(B125-DATE(YEAR(B125),1,1))/(DATE(YEAR(B125)+1,1,1)-DATE(YEAR(B125),1,1))+YEAR(B125)-YEAR(B124)-1)</f>
        <v/>
      </c>
      <c r="F125" s="8">
        <f>K124</f>
        <v/>
      </c>
      <c r="G125" s="7">
        <f>$B$10</f>
        <v/>
      </c>
      <c r="H125" s="8">
        <f>F125*G125*E125</f>
        <v/>
      </c>
      <c r="I125" s="8">
        <f>SUM(H125:H125)</f>
        <v/>
      </c>
      <c r="J125" s="8">
        <f>$B$14-I125</f>
        <v/>
      </c>
      <c r="K125" s="8">
        <f>F125-J125</f>
        <v/>
      </c>
    </row>
    <row r="126">
      <c r="A126" t="n">
        <v>130</v>
      </c>
      <c r="B126" s="10">
        <f>MIN(DATE(YEAR($E$3),MONTH($E$3)+A126*$E$4,MIN($E$5,DAY(EOMONTH(DATE(YEAR($E$3),MONTH($E$3)+A126*$E$4,1),0)))),$B$6)</f>
        <v/>
      </c>
      <c r="C126" t="inlineStr">
        <is>
          <t>проценты, тело</t>
        </is>
      </c>
      <c r="D126">
        <f>B126-B125</f>
        <v/>
      </c>
      <c r="E126" s="11">
        <f>IF(YEAR(B125)=YEAR(B126),(B126-B125)/(DATE(YEAR(B125)+1,1,1)-DATE(YEAR(B125),1,1)),(DATE(YEAR(B125)+1,1,1)-B125)/(DATE(YEAR(B125)+1,1,1)-DATE(YEAR(B125),1,1))+(B126-DATE(YEAR(B126),1,1))/(DATE(YEAR(B126)+1,1,1)-DATE(YEAR(B126),1,1))+YEAR(B126)-YEAR(B125)-1)</f>
        <v/>
      </c>
      <c r="F126" s="8">
        <f>K125</f>
        <v/>
      </c>
      <c r="G126" s="7">
        <f>$B$10</f>
        <v/>
      </c>
      <c r="H126" s="8">
        <f>F126*G126*E126</f>
        <v/>
      </c>
      <c r="I126" s="8">
        <f>SUM(H126:H126)</f>
        <v/>
      </c>
      <c r="J126" s="8">
        <f>$B$14-I126</f>
        <v/>
      </c>
      <c r="K126" s="8">
        <f>F126-J126</f>
        <v/>
      </c>
    </row>
    <row r="127">
      <c r="A127" t="n">
        <v>131</v>
      </c>
      <c r="B127" s="10">
        <f>MIN(DATE(YEAR($E$3),MONTH($E$3)+A127*$E$4,MIN($E$5,DAY(EOMONTH(DATE(YEAR($E$3),MONTH($E$3)+A127*$E$4,1),0)))),$B$6)</f>
        <v/>
      </c>
      <c r="C127" t="inlineStr">
        <is>
          <t>проценты, тело</t>
        </is>
      </c>
      <c r="D127">
        <f>B127-B126</f>
        <v/>
      </c>
      <c r="E127" s="11">
        <f>IF(YEAR(B126)=YEAR(B127),(B127-B126)/(DATE(YEAR(B126)+1,1,1)-DATE(YEAR(B126),1,1)),(DATE(YEAR(B126)+1,1,1)-B126)/(DATE(YEAR(B126)+1,1,1)-DATE(YEAR(B126),1,1))+(B127-DATE(YEAR(B127),1,1))/(DATE(YEAR(B127)+1,1,1)-DATE(YEAR(B127),1,1))+YEAR(B127)-YEAR(B126)-1)</f>
        <v/>
      </c>
      <c r="F127" s="8">
        <f>K126</f>
        <v/>
      </c>
      <c r="G127" s="7">
        <f>$B$10</f>
        <v/>
      </c>
      <c r="H127" s="8">
        <f>F127*G127*E127</f>
        <v/>
      </c>
      <c r="I127" s="8">
        <f>SUM(H127:H127)</f>
        <v/>
      </c>
      <c r="J127" s="8">
        <f>$B$14-I127</f>
        <v/>
      </c>
      <c r="K127" s="8">
        <f>F127-J127</f>
        <v/>
      </c>
    </row>
    <row r="128">
      <c r="A128" t="n">
        <v>132</v>
      </c>
      <c r="B128" s="10">
        <f>MIN(DATE(YEAR($E$3),MONTH($E$3)+A128*$E$4,MIN($E$5,DAY(EOMONTH(DATE(YEAR($E$3),MONTH($E$3)+A128*$E$4,1),0)))),$B$6)</f>
        <v/>
      </c>
      <c r="C128" t="inlineStr">
        <is>
          <t>проценты, тело</t>
        </is>
      </c>
      <c r="D128">
        <f>B128-B127</f>
        <v/>
      </c>
      <c r="E128" s="11">
        <f>IF(YEAR(B127)=YEAR(B128),(B128-B127)/(DATE(YEAR(B127)+1,1,1)-DATE(YEAR(B127),1,1)),(DATE(YEAR(B127)+1,1,1)-B127)/(DATE(YEAR(B127)+1,1,1)-DATE(YEAR(B127),1,1))+(B128-DATE(YEAR(B128),1,1))/(DATE(YEAR(B128)+1,1,1)-DATE(YEAR(B128),1,1))+YEAR(B128)-YEAR(B127)-1)</f>
        <v/>
      </c>
      <c r="F128" s="8">
        <f>K127</f>
        <v/>
      </c>
      <c r="G128" s="7">
        <f>$B$10</f>
        <v/>
      </c>
      <c r="H128" s="8">
        <f>F128*G128*E128</f>
        <v/>
      </c>
      <c r="I128" s="8">
        <f>SUM(H128:H128)</f>
        <v/>
      </c>
      <c r="J128" s="8">
        <f>$B$14-I128</f>
        <v/>
      </c>
      <c r="K128" s="8">
        <f>F128-J128</f>
        <v/>
      </c>
    </row>
    <row r="129">
      <c r="A129" t="n">
        <v>133</v>
      </c>
      <c r="B129" s="10">
        <f>MIN(DATE(YEAR($E$3),MONTH($E$3)+A129*$E$4,MIN($E$5,DAY(EOMONTH(DATE(YEAR($E$3),MONTH($E$3)+A129*$E$4,1),0)))),$B$6)</f>
        <v/>
      </c>
      <c r="C129" t="inlineStr">
        <is>
          <t>проценты, тело</t>
        </is>
      </c>
      <c r="D129">
        <f>B129-B128</f>
        <v/>
      </c>
      <c r="E129" s="11">
        <f>IF(YEAR(B128)=YEAR(B129),(B129-B128)/(DATE(YEAR(B128)+1,1,1)-DATE(YEAR(B128),1,1)),(DATE(YEAR(B128)+1,1,1)-B128)/(DATE(YEAR(B128)+1,1,1)-DATE(YEAR(B128),1,1))+(B129-DATE(YEAR(B129),1,1))/(DATE(YEAR(B129)+1,1,1)-DATE(YEAR(B129),1,1))+YEAR(B129)-YEAR(B128)-1)</f>
        <v/>
      </c>
      <c r="F129" s="8">
        <f>K128</f>
        <v/>
      </c>
      <c r="G129" s="7">
        <f>$B$10</f>
        <v/>
      </c>
      <c r="H129" s="8">
        <f>F129*G129*E129</f>
        <v/>
      </c>
      <c r="I129" s="8">
        <f>SUM(H129:H129)</f>
        <v/>
      </c>
      <c r="J129" s="8">
        <f>$B$14-I129</f>
        <v/>
      </c>
      <c r="K129" s="8">
        <f>F129-J129</f>
        <v/>
      </c>
    </row>
    <row r="130">
      <c r="A130" t="n">
        <v>134</v>
      </c>
      <c r="B130" s="10">
        <f>MIN(DATE(YEAR($E$3),MONTH($E$3)+A130*$E$4,MIN($E$5,DAY(EOMONTH(DATE(YEAR($E$3),MONTH($E$3)+A130*$E$4,1),0)))),$B$6)</f>
        <v/>
      </c>
      <c r="C130" t="inlineStr">
        <is>
          <t>проценты, тело</t>
        </is>
      </c>
      <c r="D130">
        <f>B130-B129</f>
        <v/>
      </c>
      <c r="E130" s="11">
        <f>IF(YEAR(B129)=YEAR(B130),(B130-B129)/(DATE(YEAR(B129)+1,1,1)-DATE(YEAR(B129),1,1)),(DATE(YEAR(B129)+1,1,1)-B129)/(DATE(YEAR(B129)+1,1,1)-DATE(YEAR(B129),1,1))+(B130-DATE(YEAR(B130),1,1))/(DATE(YEAR(B130)+1,1,1)-DATE(YEAR(B130),1,1))+YEAR(B130)-YEAR(B129)-1)</f>
        <v/>
      </c>
      <c r="F130" s="8">
        <f>K129</f>
        <v/>
      </c>
      <c r="G130" s="7">
        <f>$B$10</f>
        <v/>
      </c>
      <c r="H130" s="8">
        <f>F130*G130*E130</f>
        <v/>
      </c>
      <c r="I130" s="8">
        <f>SUM(H130:H130)</f>
        <v/>
      </c>
      <c r="J130" s="8">
        <f>$B$14-I130</f>
        <v/>
      </c>
      <c r="K130" s="8">
        <f>F130-J130</f>
        <v/>
      </c>
    </row>
    <row r="131">
      <c r="A131" t="n">
        <v>135</v>
      </c>
      <c r="B131" s="10">
        <f>MIN(DATE(YEAR($E$3),MONTH($E$3)+A131*$E$4,MIN($E$5,DAY(EOMONTH(DATE(YEAR($E$3),MONTH($E$3)+A131*$E$4,1),0)))),$B$6)</f>
        <v/>
      </c>
      <c r="C131" t="inlineStr">
        <is>
          <t>проценты, тело</t>
        </is>
      </c>
      <c r="D131">
        <f>B131-B130</f>
        <v/>
      </c>
      <c r="E131" s="11">
        <f>IF(YEAR(B130)=YEAR(B131),(B131-B130)/(DATE(YEAR(B130)+1,1,1)-DATE(YEAR(B130),1,1)),(DATE(YEAR(B130)+1,1,1)-B130)/(DATE(YEAR(B130)+1,1,1)-DATE(YEAR(B130),1,1))+(B131-DATE(YEAR(B131),1,1))/(DATE(YEAR(B131)+1,1,1)-DATE(YEAR(B131),1,1))+YEAR(B131)-YEAR(B130)-1)</f>
        <v/>
      </c>
      <c r="F131" s="8">
        <f>K130</f>
        <v/>
      </c>
      <c r="G131" s="7">
        <f>$B$10</f>
        <v/>
      </c>
      <c r="H131" s="8">
        <f>F131*G131*E131</f>
        <v/>
      </c>
      <c r="I131" s="8">
        <f>SUM(H131:H131)</f>
        <v/>
      </c>
      <c r="J131" s="8">
        <f>$B$14-I131</f>
        <v/>
      </c>
      <c r="K131" s="8">
        <f>F131-J131</f>
        <v/>
      </c>
    </row>
    <row r="132">
      <c r="A132" t="n">
        <v>136</v>
      </c>
      <c r="B132" s="10">
        <f>MIN(DATE(YEAR($E$3),MONTH($E$3)+A132*$E$4,MIN($E$5,DAY(EOMONTH(DATE(YEAR($E$3),MONTH($E$3)+A132*$E$4,1),0)))),$B$6)</f>
        <v/>
      </c>
      <c r="C132" t="inlineStr">
        <is>
          <t>проценты, тело</t>
        </is>
      </c>
      <c r="D132">
        <f>B132-B131</f>
        <v/>
      </c>
      <c r="E132" s="11">
        <f>IF(YEAR(B131)=YEAR(B132),(B132-B131)/(DATE(YEAR(B131)+1,1,1)-DATE(YEAR(B131),1,1)),(DATE(YEAR(B131)+1,1,1)-B131)/(DATE(YEAR(B131)+1,1,1)-DATE(YEAR(B131),1,1))+(B132-DATE(YEAR(B132),1,1))/(DATE(YEAR(B132)+1,1,1)-DATE(YEAR(B132),1,1))+YEAR(B132)-YEAR(B131)-1)</f>
        <v/>
      </c>
      <c r="F132" s="8">
        <f>K131</f>
        <v/>
      </c>
      <c r="G132" s="7">
        <f>$B$10</f>
        <v/>
      </c>
      <c r="H132" s="8">
        <f>F132*G132*E132</f>
        <v/>
      </c>
      <c r="I132" s="8">
        <f>SUM(H132:H132)</f>
        <v/>
      </c>
      <c r="J132" s="8">
        <f>$B$14-I132</f>
        <v/>
      </c>
      <c r="K132" s="8">
        <f>F132-J132</f>
        <v/>
      </c>
    </row>
    <row r="133">
      <c r="A133" t="n">
        <v>137</v>
      </c>
      <c r="B133" s="10">
        <f>MIN(DATE(YEAR($E$3),MONTH($E$3)+A133*$E$4,MIN($E$5,DAY(EOMONTH(DATE(YEAR($E$3),MONTH($E$3)+A133*$E$4,1),0)))),$B$6)</f>
        <v/>
      </c>
      <c r="C133" t="inlineStr">
        <is>
          <t>проценты, тело</t>
        </is>
      </c>
      <c r="D133">
        <f>B133-B132</f>
        <v/>
      </c>
      <c r="E133" s="11">
        <f>IF(YEAR(B132)=YEAR(B133),(B133-B132)/(DATE(YEAR(B132)+1,1,1)-DATE(YEAR(B132),1,1)),(DATE(YEAR(B132)+1,1,1)-B132)/(DATE(YEAR(B132)+1,1,1)-DATE(YEAR(B132),1,1))+(B133-DATE(YEAR(B133),1,1))/(DATE(YEAR(B133)+1,1,1)-DATE(YEAR(B133),1,1))+YEAR(B133)-YEAR(B132)-1)</f>
        <v/>
      </c>
      <c r="F133" s="8">
        <f>K132</f>
        <v/>
      </c>
      <c r="G133" s="7">
        <f>$B$10</f>
        <v/>
      </c>
      <c r="H133" s="8">
        <f>F133*G133*E133</f>
        <v/>
      </c>
      <c r="I133" s="8">
        <f>SUM(H133:H133)</f>
        <v/>
      </c>
      <c r="J133" s="8">
        <f>$B$14-I133</f>
        <v/>
      </c>
      <c r="K133" s="8">
        <f>F133-J133</f>
        <v/>
      </c>
    </row>
    <row r="134">
      <c r="A134" t="n">
        <v>138</v>
      </c>
      <c r="B134" s="10">
        <f>MIN(DATE(YEAR($E$3),MONTH($E$3)+A134*$E$4,MIN($E$5,DAY(EOMONTH(DATE(YEAR($E$3),MONTH($E$3)+A134*$E$4,1),0)))),$B$6)</f>
        <v/>
      </c>
      <c r="C134" t="inlineStr">
        <is>
          <t>проценты, тело</t>
        </is>
      </c>
      <c r="D134">
        <f>B134-B133</f>
        <v/>
      </c>
      <c r="E134" s="11">
        <f>IF(YEAR(B133)=YEAR(B134),(B134-B133)/(DATE(YEAR(B133)+1,1,1)-DATE(YEAR(B133),1,1)),(DATE(YEAR(B133)+1,1,1)-B133)/(DATE(YEAR(B133)+1,1,1)-DATE(YEAR(B133),1,1))+(B134-DATE(YEAR(B134),1,1))/(DATE(YEAR(B134)+1,1,1)-DATE(YEAR(B134),1,1))+YEAR(B134)-YEAR(B133)-1)</f>
        <v/>
      </c>
      <c r="F134" s="8">
        <f>K133</f>
        <v/>
      </c>
      <c r="G134" s="7">
        <f>$B$10</f>
        <v/>
      </c>
      <c r="H134" s="8">
        <f>F134*G134*E134</f>
        <v/>
      </c>
      <c r="I134" s="8">
        <f>SUM(H134:H134)</f>
        <v/>
      </c>
      <c r="J134" s="8">
        <f>$B$14-I134</f>
        <v/>
      </c>
      <c r="K134" s="8">
        <f>F134-J134</f>
        <v/>
      </c>
    </row>
    <row r="135">
      <c r="A135" t="n">
        <v>139</v>
      </c>
      <c r="B135" s="10">
        <f>MIN(DATE(YEAR($E$3),MONTH($E$3)+A135*$E$4,MIN($E$5,DAY(EOMONTH(DATE(YEAR($E$3),MONTH($E$3)+A135*$E$4,1),0)))),$B$6)</f>
        <v/>
      </c>
      <c r="C135" t="inlineStr">
        <is>
          <t>проценты, тело</t>
        </is>
      </c>
      <c r="D135">
        <f>B135-B134</f>
        <v/>
      </c>
      <c r="E135" s="11">
        <f>IF(YEAR(B134)=YEAR(B135),(B135-B134)/(DATE(YEAR(B134)+1,1,1)-DATE(YEAR(B134),1,1)),(DATE(YEAR(B134)+1,1,1)-B134)/(DATE(YEAR(B134)+1,1,1)-DATE(YEAR(B134),1,1))+(B135-DATE(YEAR(B135),1,1))/(DATE(YEAR(B135)+1,1,1)-DATE(YEAR(B135),1,1))+YEAR(B135)-YEAR(B134)-1)</f>
        <v/>
      </c>
      <c r="F135" s="8">
        <f>K134</f>
        <v/>
      </c>
      <c r="G135" s="7">
        <f>$B$10</f>
        <v/>
      </c>
      <c r="H135" s="8">
        <f>F135*G135*E135</f>
        <v/>
      </c>
      <c r="I135" s="8">
        <f>SUM(H135:H135)</f>
        <v/>
      </c>
      <c r="J135" s="8">
        <f>$B$14-I135</f>
        <v/>
      </c>
      <c r="K135" s="8">
        <f>F135-J135</f>
        <v/>
      </c>
    </row>
    <row r="136">
      <c r="A136" t="n">
        <v>140</v>
      </c>
      <c r="B136" s="10">
        <f>MIN(DATE(YEAR($E$3),MONTH($E$3)+A136*$E$4,MIN($E$5,DAY(EOMONTH(DATE(YEAR($E$3),MONTH($E$3)+A136*$E$4,1),0)))),$B$6)</f>
        <v/>
      </c>
      <c r="C136" t="inlineStr">
        <is>
          <t>проценты, тело</t>
        </is>
      </c>
      <c r="D136">
        <f>B136-B135</f>
        <v/>
      </c>
      <c r="E136" s="11">
        <f>IF(YEAR(B135)=YEAR(B136),(B136-B135)/(DATE(YEAR(B135)+1,1,1)-DATE(YEAR(B135),1,1)),(DATE(YEAR(B135)+1,1,1)-B135)/(DATE(YEAR(B135)+1,1,1)-DATE(YEAR(B135),1,1))+(B136-DATE(YEAR(B136),1,1))/(DATE(YEAR(B136)+1,1,1)-DATE(YEAR(B136),1,1))+YEAR(B136)-YEAR(B135)-1)</f>
        <v/>
      </c>
      <c r="F136" s="8">
        <f>K135</f>
        <v/>
      </c>
      <c r="G136" s="7">
        <f>$B$10</f>
        <v/>
      </c>
      <c r="H136" s="8">
        <f>F136*G136*E136</f>
        <v/>
      </c>
      <c r="I136" s="8">
        <f>SUM(H136:H136)</f>
        <v/>
      </c>
      <c r="J136" s="8">
        <f>$B$14-I136</f>
        <v/>
      </c>
      <c r="K136" s="8">
        <f>F136-J136</f>
        <v/>
      </c>
    </row>
    <row r="137">
      <c r="A137" t="n">
        <v>141</v>
      </c>
      <c r="B137" s="10">
        <f>MIN(DATE(YEAR($E$3),MONTH($E$3)+A137*$E$4,MIN($E$5,DAY(EOMONTH(DATE(YEAR($E$3),MONTH($E$3)+A137*$E$4,1),0)))),$B$6)</f>
        <v/>
      </c>
      <c r="C137" t="inlineStr">
        <is>
          <t>проценты, тело</t>
        </is>
      </c>
      <c r="D137">
        <f>B137-B136</f>
        <v/>
      </c>
      <c r="E137" s="11">
        <f>IF(YEAR(B136)=YEAR(B137),(B137-B136)/(DATE(YEAR(B136)+1,1,1)-DATE(YEAR(B136),1,1)),(DATE(YEAR(B136)+1,1,1)-B136)/(DATE(YEAR(B136)+1,1,1)-DATE(YEAR(B136),1,1))+(B137-DATE(YEAR(B137),1,1))/(DATE(YEAR(B137)+1,1,1)-DATE(YEAR(B137),1,1))+YEAR(B137)-YEAR(B136)-1)</f>
        <v/>
      </c>
      <c r="F137" s="8">
        <f>K136</f>
        <v/>
      </c>
      <c r="G137" s="7">
        <f>$B$10</f>
        <v/>
      </c>
      <c r="H137" s="8">
        <f>F137*G137*E137</f>
        <v/>
      </c>
      <c r="I137" s="8">
        <f>SUM(H137:H137)</f>
        <v/>
      </c>
      <c r="J137" s="8">
        <f>$B$14-I137</f>
        <v/>
      </c>
      <c r="K137" s="8">
        <f>F137-J137</f>
        <v/>
      </c>
    </row>
    <row r="138">
      <c r="A138" t="n">
        <v>142</v>
      </c>
      <c r="B138" s="10">
        <f>MIN(DATE(YEAR($E$3),MONTH($E$3)+A138*$E$4,MIN($E$5,DAY(EOMONTH(DATE(YEAR($E$3),MONTH($E$3)+A138*$E$4,1),0)))),$B$6)</f>
        <v/>
      </c>
      <c r="C138" t="inlineStr">
        <is>
          <t>проценты, тело</t>
        </is>
      </c>
      <c r="D138">
        <f>B138-B137</f>
        <v/>
      </c>
      <c r="E138" s="11">
        <f>IF(YEAR(B137)=YEAR(B138),(B138-B137)/(DATE(YEAR(B137)+1,1,1)-DATE(YEAR(B137),1,1)),(DATE(YEAR(B137)+1,1,1)-B137)/(DATE(YEAR(B137)+1,1,1)-DATE(YEAR(B137),1,1))+(B138-DATE(YEAR(B138),1,1))/(DATE(YEAR(B138)+1,1,1)-DATE(YEAR(B138),1,1))+YEAR(B138)-YEAR(B137)-1)</f>
        <v/>
      </c>
      <c r="F138" s="8">
        <f>K137</f>
        <v/>
      </c>
      <c r="G138" s="7">
        <f>$B$10</f>
        <v/>
      </c>
      <c r="H138" s="8">
        <f>F138*G138*E138</f>
        <v/>
      </c>
      <c r="I138" s="8">
        <f>SUM(H138:H138)</f>
        <v/>
      </c>
      <c r="J138" s="8">
        <f>$B$14-I138</f>
        <v/>
      </c>
      <c r="K138" s="8">
        <f>F138-J138</f>
        <v/>
      </c>
    </row>
    <row r="139">
      <c r="A139" t="n">
        <v>143</v>
      </c>
      <c r="B139" s="10">
        <f>MIN(DATE(YEAR($E$3),MONTH($E$3)+A139*$E$4,MIN($E$5,DAY(EOMONTH(DATE(YEAR($E$3),MONTH($E$3)+A139*$E$4,1),0)))),$B$6)</f>
        <v/>
      </c>
      <c r="C139" t="inlineStr">
        <is>
          <t>проценты, тело</t>
        </is>
      </c>
      <c r="D139">
        <f>B139-B138</f>
        <v/>
      </c>
      <c r="E139" s="11">
        <f>IF(YEAR(B138)=YEAR(B139),(B139-B138)/(DATE(YEAR(B138)+1,1,1)-DATE(YEAR(B138),1,1)),(DATE(YEAR(B138)+1,1,1)-B138)/(DATE(YEAR(B138)+1,1,1)-DATE(YEAR(B138),1,1))+(B139-DATE(YEAR(B139),1,1))/(DATE(YEAR(B139)+1,1,1)-DATE(YEAR(B139),1,1))+YEAR(B139)-YEAR(B138)-1)</f>
        <v/>
      </c>
      <c r="F139" s="8">
        <f>K138</f>
        <v/>
      </c>
      <c r="G139" s="7">
        <f>$B$10</f>
        <v/>
      </c>
      <c r="H139" s="8">
        <f>F139*G139*E139</f>
        <v/>
      </c>
      <c r="I139" s="8">
        <f>SUM(H139:H139)</f>
        <v/>
      </c>
      <c r="J139" s="8">
        <f>$B$14-I139</f>
        <v/>
      </c>
      <c r="K139" s="8">
        <f>F139-J139</f>
        <v/>
      </c>
    </row>
    <row r="140">
      <c r="A140" t="n">
        <v>144</v>
      </c>
      <c r="B140" s="10">
        <f>MIN(DATE(YEAR($E$3),MONTH($E$3)+A140*$E$4,MIN($E$5,DAY(EOMONTH(DATE(YEAR($E$3),MONTH($E$3)+A140*$E$4,1),0)))),$B$6)</f>
        <v/>
      </c>
      <c r="C140" t="inlineStr">
        <is>
          <t>проценты, тело</t>
        </is>
      </c>
      <c r="D140">
        <f>B140-B139</f>
        <v/>
      </c>
      <c r="E140" s="11">
        <f>IF(YEAR(B139)=YEAR(B140),(B140-B139)/(DATE(YEAR(B139)+1,1,1)-DATE(YEAR(B139),1,1)),(DATE(YEAR(B139)+1,1,1)-B139)/(DATE(YEAR(B139)+1,1,1)-DATE(YEAR(B139),1,1))+(B140-DATE(YEAR(B140),1,1))/(DATE(YEAR(B140)+1,1,1)-DATE(YEAR(B140),1,1))+YEAR(B140)-YEAR(B139)-1)</f>
        <v/>
      </c>
      <c r="F140" s="8">
        <f>K139</f>
        <v/>
      </c>
      <c r="G140" s="7">
        <f>$B$10</f>
        <v/>
      </c>
      <c r="H140" s="8">
        <f>F140*G140*E140</f>
        <v/>
      </c>
      <c r="I140" s="8">
        <f>SUM(H140:H140)</f>
        <v/>
      </c>
      <c r="J140" s="8">
        <f>$B$14-I140</f>
        <v/>
      </c>
      <c r="K140" s="8">
        <f>F140-J140</f>
        <v/>
      </c>
    </row>
    <row r="141">
      <c r="A141" t="n">
        <v>145</v>
      </c>
      <c r="B141" s="10">
        <f>MIN(DATE(YEAR($E$3),MONTH($E$3)+A141*$E$4,MIN($E$5,DAY(EOMONTH(DATE(YEAR($E$3),MONTH($E$3)+A141*$E$4,1),0)))),$B$6)</f>
        <v/>
      </c>
      <c r="C141" t="inlineStr">
        <is>
          <t>проценты, тело</t>
        </is>
      </c>
      <c r="D141">
        <f>B141-B140</f>
        <v/>
      </c>
      <c r="E141" s="11">
        <f>IF(YEAR(B140)=YEAR(B141),(B141-B140)/(DATE(YEAR(B140)+1,1,1)-DATE(YEAR(B140),1,1)),(DATE(YEAR(B140)+1,1,1)-B140)/(DATE(YEAR(B140)+1,1,1)-DATE(YEAR(B140),1,1))+(B141-DATE(YEAR(B141),1,1))/(DATE(YEAR(B141)+1,1,1)-DATE(YEAR(B141),1,1))+YEAR(B141)-YEAR(B140)-1)</f>
        <v/>
      </c>
      <c r="F141" s="8">
        <f>K140</f>
        <v/>
      </c>
      <c r="G141" s="7">
        <f>$B$10</f>
        <v/>
      </c>
      <c r="H141" s="8">
        <f>F141*G141*E141</f>
        <v/>
      </c>
      <c r="I141" s="8">
        <f>SUM(H141:H141)</f>
        <v/>
      </c>
      <c r="J141" s="8">
        <f>$B$14-I141</f>
        <v/>
      </c>
      <c r="K141" s="8">
        <f>F141-J141</f>
        <v/>
      </c>
    </row>
    <row r="142">
      <c r="A142" t="n">
        <v>146</v>
      </c>
      <c r="B142" s="10">
        <f>MIN(DATE(YEAR($E$3),MONTH($E$3)+A142*$E$4,MIN($E$5,DAY(EOMONTH(DATE(YEAR($E$3),MONTH($E$3)+A142*$E$4,1),0)))),$B$6)</f>
        <v/>
      </c>
      <c r="C142" t="inlineStr">
        <is>
          <t>проценты, тело</t>
        </is>
      </c>
      <c r="D142">
        <f>B142-B141</f>
        <v/>
      </c>
      <c r="E142" s="11">
        <f>IF(YEAR(B141)=YEAR(B142),(B142-B141)/(DATE(YEAR(B141)+1,1,1)-DATE(YEAR(B141),1,1)),(DATE(YEAR(B141)+1,1,1)-B141)/(DATE(YEAR(B141)+1,1,1)-DATE(YEAR(B141),1,1))+(B142-DATE(YEAR(B142),1,1))/(DATE(YEAR(B142)+1,1,1)-DATE(YEAR(B142),1,1))+YEAR(B142)-YEAR(B141)-1)</f>
        <v/>
      </c>
      <c r="F142" s="8">
        <f>K141</f>
        <v/>
      </c>
      <c r="G142" s="7">
        <f>$B$10</f>
        <v/>
      </c>
      <c r="H142" s="8">
        <f>F142*G142*E142</f>
        <v/>
      </c>
      <c r="I142" s="8">
        <f>SUM(H142:H142)</f>
        <v/>
      </c>
      <c r="J142" s="8">
        <f>$B$14-I142</f>
        <v/>
      </c>
      <c r="K142" s="8">
        <f>F142-J142</f>
        <v/>
      </c>
    </row>
    <row r="143">
      <c r="A143" t="n">
        <v>147</v>
      </c>
      <c r="B143" s="10">
        <f>MIN(DATE(YEAR($E$3),MONTH($E$3)+A143*$E$4,MIN($E$5,DAY(EOMONTH(DATE(YEAR($E$3),MONTH($E$3)+A143*$E$4,1),0)))),$B$6)</f>
        <v/>
      </c>
      <c r="C143" t="inlineStr">
        <is>
          <t>проценты, тело</t>
        </is>
      </c>
      <c r="D143">
        <f>B143-B142</f>
        <v/>
      </c>
      <c r="E143" s="11">
        <f>IF(YEAR(B142)=YEAR(B143),(B143-B142)/(DATE(YEAR(B142)+1,1,1)-DATE(YEAR(B142),1,1)),(DATE(YEAR(B142)+1,1,1)-B142)/(DATE(YEAR(B142)+1,1,1)-DATE(YEAR(B142),1,1))+(B143-DATE(YEAR(B143),1,1))/(DATE(YEAR(B143)+1,1,1)-DATE(YEAR(B143),1,1))+YEAR(B143)-YEAR(B142)-1)</f>
        <v/>
      </c>
      <c r="F143" s="8">
        <f>K142</f>
        <v/>
      </c>
      <c r="G143" s="7">
        <f>$B$10</f>
        <v/>
      </c>
      <c r="H143" s="8">
        <f>F143*G143*E143</f>
        <v/>
      </c>
      <c r="I143" s="8">
        <f>SUM(H143:H143)</f>
        <v/>
      </c>
      <c r="J143" s="8">
        <f>$B$14-I143</f>
        <v/>
      </c>
      <c r="K143" s="8">
        <f>F143-J143</f>
        <v/>
      </c>
    </row>
    <row r="144">
      <c r="A144" t="n">
        <v>148</v>
      </c>
      <c r="B144" s="10">
        <f>MIN(DATE(YEAR($E$3),MONTH($E$3)+A144*$E$4,MIN($E$5,DAY(EOMONTH(DATE(YEAR($E$3),MONTH($E$3)+A144*$E$4,1),0)))),$B$6)</f>
        <v/>
      </c>
      <c r="C144" t="inlineStr">
        <is>
          <t>проценты, тело</t>
        </is>
      </c>
      <c r="D144">
        <f>B144-B143</f>
        <v/>
      </c>
      <c r="E144" s="11">
        <f>IF(YEAR(B143)=YEAR(B144),(B144-B143)/(DATE(YEAR(B143)+1,1,1)-DATE(YEAR(B143),1,1)),(DATE(YEAR(B143)+1,1,1)-B143)/(DATE(YEAR(B143)+1,1,1)-DATE(YEAR(B143),1,1))+(B144-DATE(YEAR(B144),1,1))/(DATE(YEAR(B144)+1,1,1)-DATE(YEAR(B144),1,1))+YEAR(B144)-YEAR(B143)-1)</f>
        <v/>
      </c>
      <c r="F144" s="8">
        <f>K143</f>
        <v/>
      </c>
      <c r="G144" s="7">
        <f>$B$10</f>
        <v/>
      </c>
      <c r="H144" s="8">
        <f>F144*G144*E144</f>
        <v/>
      </c>
      <c r="I144" s="8">
        <f>SUM(H144:H144)</f>
        <v/>
      </c>
      <c r="J144" s="8">
        <f>$B$14-I144</f>
        <v/>
      </c>
      <c r="K144" s="8">
        <f>F144-J144</f>
        <v/>
      </c>
    </row>
    <row r="145">
      <c r="A145" t="n">
        <v>149</v>
      </c>
      <c r="B145" s="10">
        <f>MIN(DATE(YEAR($E$3),MONTH($E$3)+A145*$E$4,MIN($E$5,DAY(EOMONTH(DATE(YEAR($E$3),MONTH($E$3)+A145*$E$4,1),0)))),$B$6)</f>
        <v/>
      </c>
      <c r="C145" t="inlineStr">
        <is>
          <t>проценты, тело</t>
        </is>
      </c>
      <c r="D145">
        <f>B145-B144</f>
        <v/>
      </c>
      <c r="E145" s="11">
        <f>IF(YEAR(B144)=YEAR(B145),(B145-B144)/(DATE(YEAR(B144)+1,1,1)-DATE(YEAR(B144),1,1)),(DATE(YEAR(B144)+1,1,1)-B144)/(DATE(YEAR(B144)+1,1,1)-DATE(YEAR(B144),1,1))+(B145-DATE(YEAR(B145),1,1))/(DATE(YEAR(B145)+1,1,1)-DATE(YEAR(B145),1,1))+YEAR(B145)-YEAR(B144)-1)</f>
        <v/>
      </c>
      <c r="F145" s="8">
        <f>K144</f>
        <v/>
      </c>
      <c r="G145" s="7">
        <f>$B$10</f>
        <v/>
      </c>
      <c r="H145" s="8">
        <f>F145*G145*E145</f>
        <v/>
      </c>
      <c r="I145" s="8">
        <f>SUM(H145:H145)</f>
        <v/>
      </c>
      <c r="J145" s="8">
        <f>$B$14-I145</f>
        <v/>
      </c>
      <c r="K145" s="8">
        <f>F145-J145</f>
        <v/>
      </c>
    </row>
    <row r="146">
      <c r="A146" t="n">
        <v>150</v>
      </c>
      <c r="B146" s="10">
        <f>MIN(DATE(YEAR($E$3),MONTH($E$3)+A146*$E$4,MIN($E$5,DAY(EOMONTH(DATE(YEAR($E$3),MONTH($E$3)+A146*$E$4,1),0)))),$B$6)</f>
        <v/>
      </c>
      <c r="C146" t="inlineStr">
        <is>
          <t>проценты, тело</t>
        </is>
      </c>
      <c r="D146">
        <f>B146-B145</f>
        <v/>
      </c>
      <c r="E146" s="11">
        <f>IF(YEAR(B145)=YEAR(B146),(B146-B145)/(DATE(YEAR(B145)+1,1,1)-DATE(YEAR(B145),1,1)),(DATE(YEAR(B145)+1,1,1)-B145)/(DATE(YEAR(B145)+1,1,1)-DATE(YEAR(B145),1,1))+(B146-DATE(YEAR(B146),1,1))/(DATE(YEAR(B146)+1,1,1)-DATE(YEAR(B146),1,1))+YEAR(B146)-YEAR(B145)-1)</f>
        <v/>
      </c>
      <c r="F146" s="8">
        <f>K145</f>
        <v/>
      </c>
      <c r="G146" s="7">
        <f>$B$10</f>
        <v/>
      </c>
      <c r="H146" s="8">
        <f>F146*G146*E146</f>
        <v/>
      </c>
      <c r="I146" s="8">
        <f>SUM(H146:H146)</f>
        <v/>
      </c>
      <c r="J146" s="8">
        <f>$B$14-I146</f>
        <v/>
      </c>
      <c r="K146" s="8">
        <f>F146-J146</f>
        <v/>
      </c>
    </row>
    <row r="147">
      <c r="A147" t="n">
        <v>151</v>
      </c>
      <c r="B147" s="10">
        <f>MIN(DATE(YEAR($E$3),MONTH($E$3)+A147*$E$4,MIN($E$5,DAY(EOMONTH(DATE(YEAR($E$3),MONTH($E$3)+A147*$E$4,1),0)))),$B$6)</f>
        <v/>
      </c>
      <c r="C147" t="inlineStr">
        <is>
          <t>проценты, тело</t>
        </is>
      </c>
      <c r="D147">
        <f>B147-B146</f>
        <v/>
      </c>
      <c r="E147" s="11">
        <f>IF(YEAR(B146)=YEAR(B147),(B147-B146)/(DATE(YEAR(B146)+1,1,1)-DATE(YEAR(B146),1,1)),(DATE(YEAR(B146)+1,1,1)-B146)/(DATE(YEAR(B146)+1,1,1)-DATE(YEAR(B146),1,1))+(B147-DATE(YEAR(B147),1,1))/(DATE(YEAR(B147)+1,1,1)-DATE(YEAR(B147),1,1))+YEAR(B147)-YEAR(B146)-1)</f>
        <v/>
      </c>
      <c r="F147" s="8">
        <f>K146</f>
        <v/>
      </c>
      <c r="G147" s="7">
        <f>$B$10</f>
        <v/>
      </c>
      <c r="H147" s="8">
        <f>F147*G147*E147</f>
        <v/>
      </c>
      <c r="I147" s="8">
        <f>SUM(H147:H147)</f>
        <v/>
      </c>
      <c r="J147" s="8">
        <f>$B$14-I147</f>
        <v/>
      </c>
      <c r="K147" s="8">
        <f>F147-J147</f>
        <v/>
      </c>
    </row>
    <row r="148">
      <c r="A148" t="n">
        <v>152</v>
      </c>
      <c r="B148" s="10">
        <f>MIN(DATE(YEAR($E$3),MONTH($E$3)+A148*$E$4,MIN($E$5,DAY(EOMONTH(DATE(YEAR($E$3),MONTH($E$3)+A148*$E$4,1),0)))),$B$6)</f>
        <v/>
      </c>
      <c r="C148" t="inlineStr">
        <is>
          <t>проценты, тело</t>
        </is>
      </c>
      <c r="D148">
        <f>B148-B147</f>
        <v/>
      </c>
      <c r="E148" s="11">
        <f>IF(YEAR(B147)=YEAR(B148),(B148-B147)/(DATE(YEAR(B147)+1,1,1)-DATE(YEAR(B147),1,1)),(DATE(YEAR(B147)+1,1,1)-B147)/(DATE(YEAR(B147)+1,1,1)-DATE(YEAR(B147),1,1))+(B148-DATE(YEAR(B148),1,1))/(DATE(YEAR(B148)+1,1,1)-DATE(YEAR(B148),1,1))+YEAR(B148)-YEAR(B147)-1)</f>
        <v/>
      </c>
      <c r="F148" s="8">
        <f>K147</f>
        <v/>
      </c>
      <c r="G148" s="7">
        <f>$B$10</f>
        <v/>
      </c>
      <c r="H148" s="8">
        <f>F148*G148*E148</f>
        <v/>
      </c>
      <c r="I148" s="8">
        <f>SUM(H148:H148)</f>
        <v/>
      </c>
      <c r="J148" s="8">
        <f>$B$14-I148</f>
        <v/>
      </c>
      <c r="K148" s="8">
        <f>F148-J148</f>
        <v/>
      </c>
    </row>
    <row r="149">
      <c r="A149" t="n">
        <v>153</v>
      </c>
      <c r="B149" s="10">
        <f>MIN(DATE(YEAR($E$3),MONTH($E$3)+A149*$E$4,MIN($E$5,DAY(EOMONTH(DATE(YEAR($E$3),MONTH($E$3)+A149*$E$4,1),0)))),$B$6)</f>
        <v/>
      </c>
      <c r="C149" t="inlineStr">
        <is>
          <t>проценты, тело</t>
        </is>
      </c>
      <c r="D149">
        <f>B149-B148</f>
        <v/>
      </c>
      <c r="E149" s="11">
        <f>IF(YEAR(B148)=YEAR(B149),(B149-B148)/(DATE(YEAR(B148)+1,1,1)-DATE(YEAR(B148),1,1)),(DATE(YEAR(B148)+1,1,1)-B148)/(DATE(YEAR(B148)+1,1,1)-DATE(YEAR(B148),1,1))+(B149-DATE(YEAR(B149),1,1))/(DATE(YEAR(B149)+1,1,1)-DATE(YEAR(B149),1,1))+YEAR(B149)-YEAR(B148)-1)</f>
        <v/>
      </c>
      <c r="F149" s="8">
        <f>K148</f>
        <v/>
      </c>
      <c r="G149" s="7">
        <f>$B$10</f>
        <v/>
      </c>
      <c r="H149" s="8">
        <f>F149*G149*E149</f>
        <v/>
      </c>
      <c r="I149" s="8">
        <f>SUM(H149:H149)</f>
        <v/>
      </c>
      <c r="J149" s="8">
        <f>$B$14-I149</f>
        <v/>
      </c>
      <c r="K149" s="8">
        <f>F149-J149</f>
        <v/>
      </c>
    </row>
    <row r="150">
      <c r="A150" t="n">
        <v>154</v>
      </c>
      <c r="B150" s="10">
        <f>MIN(DATE(YEAR($E$3),MONTH($E$3)+A150*$E$4,MIN($E$5,DAY(EOMONTH(DATE(YEAR($E$3),MONTH($E$3)+A150*$E$4,1),0)))),$B$6)</f>
        <v/>
      </c>
      <c r="C150" t="inlineStr">
        <is>
          <t>проценты, тело</t>
        </is>
      </c>
      <c r="D150">
        <f>B150-B149</f>
        <v/>
      </c>
      <c r="E150" s="11">
        <f>IF(YEAR(B149)=YEAR(B150),(B150-B149)/(DATE(YEAR(B149)+1,1,1)-DATE(YEAR(B149),1,1)),(DATE(YEAR(B149)+1,1,1)-B149)/(DATE(YEAR(B149)+1,1,1)-DATE(YEAR(B149),1,1))+(B150-DATE(YEAR(B150),1,1))/(DATE(YEAR(B150)+1,1,1)-DATE(YEAR(B150),1,1))+YEAR(B150)-YEAR(B149)-1)</f>
        <v/>
      </c>
      <c r="F150" s="8">
        <f>K149</f>
        <v/>
      </c>
      <c r="G150" s="7">
        <f>$B$10</f>
        <v/>
      </c>
      <c r="H150" s="8">
        <f>F150*G150*E150</f>
        <v/>
      </c>
      <c r="I150" s="8">
        <f>SUM(H150:H150)</f>
        <v/>
      </c>
      <c r="J150" s="8">
        <f>$B$14-I150</f>
        <v/>
      </c>
      <c r="K150" s="8">
        <f>F150-J150</f>
        <v/>
      </c>
    </row>
    <row r="151">
      <c r="A151" t="n">
        <v>155</v>
      </c>
      <c r="B151" s="10">
        <f>MIN(DATE(YEAR($E$3),MONTH($E$3)+A151*$E$4,MIN($E$5,DAY(EOMONTH(DATE(YEAR($E$3),MONTH($E$3)+A151*$E$4,1),0)))),$B$6)</f>
        <v/>
      </c>
      <c r="C151" t="inlineStr">
        <is>
          <t>проценты, тело</t>
        </is>
      </c>
      <c r="D151">
        <f>B151-B150</f>
        <v/>
      </c>
      <c r="E151" s="11">
        <f>IF(YEAR(B150)=YEAR(B151),(B151-B150)/(DATE(YEAR(B150)+1,1,1)-DATE(YEAR(B150),1,1)),(DATE(YEAR(B150)+1,1,1)-B150)/(DATE(YEAR(B150)+1,1,1)-DATE(YEAR(B150),1,1))+(B151-DATE(YEAR(B151),1,1))/(DATE(YEAR(B151)+1,1,1)-DATE(YEAR(B151),1,1))+YEAR(B151)-YEAR(B150)-1)</f>
        <v/>
      </c>
      <c r="F151" s="8">
        <f>K150</f>
        <v/>
      </c>
      <c r="G151" s="7">
        <f>$B$10</f>
        <v/>
      </c>
      <c r="H151" s="8">
        <f>F151*G151*E151</f>
        <v/>
      </c>
      <c r="I151" s="8">
        <f>SUM(H151:H151)</f>
        <v/>
      </c>
      <c r="J151" s="8">
        <f>$B$14-I151</f>
        <v/>
      </c>
      <c r="K151" s="8">
        <f>F151-J151</f>
        <v/>
      </c>
    </row>
    <row r="152">
      <c r="A152" t="n">
        <v>156</v>
      </c>
      <c r="B152" s="10">
        <f>MIN(DATE(YEAR($E$3),MONTH($E$3)+A152*$E$4,MIN($E$5,DAY(EOMONTH(DATE(YEAR($E$3),MONTH($E$3)+A152*$E$4,1),0)))),$B$6)</f>
        <v/>
      </c>
      <c r="C152" t="inlineStr">
        <is>
          <t>проценты, тело</t>
        </is>
      </c>
      <c r="D152">
        <f>B152-B151</f>
        <v/>
      </c>
      <c r="E152" s="11">
        <f>IF(YEAR(B151)=YEAR(B152),(B152-B151)/(DATE(YEAR(B151)+1,1,1)-DATE(YEAR(B151),1,1)),(DATE(YEAR(B151)+1,1,1)-B151)/(DATE(YEAR(B151)+1,1,1)-DATE(YEAR(B151),1,1))+(B152-DATE(YEAR(B152),1,1))/(DATE(YEAR(B152)+1,1,1)-DATE(YEAR(B152),1,1))+YEAR(B152)-YEAR(B151)-1)</f>
        <v/>
      </c>
      <c r="F152" s="8">
        <f>K151</f>
        <v/>
      </c>
      <c r="G152" s="7">
        <f>$B$10</f>
        <v/>
      </c>
      <c r="H152" s="8">
        <f>F152*G152*E152</f>
        <v/>
      </c>
      <c r="I152" s="8">
        <f>SUM(H152:H152)</f>
        <v/>
      </c>
      <c r="J152" s="8">
        <f>$B$14-I152</f>
        <v/>
      </c>
      <c r="K152" s="8">
        <f>F152-J152</f>
        <v/>
      </c>
    </row>
    <row r="153">
      <c r="A153" t="n">
        <v>157</v>
      </c>
      <c r="B153" s="10">
        <f>MIN(DATE(YEAR($E$3),MONTH($E$3)+A153*$E$4,MIN($E$5,DAY(EOMONTH(DATE(YEAR($E$3),MONTH($E$3)+A153*$E$4,1),0)))),$B$6)</f>
        <v/>
      </c>
      <c r="C153" t="inlineStr">
        <is>
          <t>проценты, тело</t>
        </is>
      </c>
      <c r="D153">
        <f>B153-B152</f>
        <v/>
      </c>
      <c r="E153" s="11">
        <f>IF(YEAR(B152)=YEAR(B153),(B153-B152)/(DATE(YEAR(B152)+1,1,1)-DATE(YEAR(B152),1,1)),(DATE(YEAR(B152)+1,1,1)-B152)/(DATE(YEAR(B152)+1,1,1)-DATE(YEAR(B152),1,1))+(B153-DATE(YEAR(B153),1,1))/(DATE(YEAR(B153)+1,1,1)-DATE(YEAR(B153),1,1))+YEAR(B153)-YEAR(B152)-1)</f>
        <v/>
      </c>
      <c r="F153" s="8">
        <f>K152</f>
        <v/>
      </c>
      <c r="G153" s="7">
        <f>$B$10</f>
        <v/>
      </c>
      <c r="H153" s="8">
        <f>F153*G153*E153</f>
        <v/>
      </c>
      <c r="I153" s="8">
        <f>SUM(H153:H153)</f>
        <v/>
      </c>
      <c r="J153" s="8">
        <f>$B$14-I153</f>
        <v/>
      </c>
      <c r="K153" s="8">
        <f>F153-J153</f>
        <v/>
      </c>
    </row>
    <row r="154">
      <c r="A154" t="n">
        <v>158</v>
      </c>
      <c r="B154" s="10">
        <f>MIN(DATE(YEAR($E$3),MONTH($E$3)+A154*$E$4,MIN($E$5,DAY(EOMONTH(DATE(YEAR($E$3),MONTH($E$3)+A154*$E$4,1),0)))),$B$6)</f>
        <v/>
      </c>
      <c r="C154" t="inlineStr">
        <is>
          <t>проценты, тело</t>
        </is>
      </c>
      <c r="D154">
        <f>B154-B153</f>
        <v/>
      </c>
      <c r="E154" s="11">
        <f>IF(YEAR(B153)=YEAR(B154),(B154-B153)/(DATE(YEAR(B153)+1,1,1)-DATE(YEAR(B153),1,1)),(DATE(YEAR(B153)+1,1,1)-B153)/(DATE(YEAR(B153)+1,1,1)-DATE(YEAR(B153),1,1))+(B154-DATE(YEAR(B154),1,1))/(DATE(YEAR(B154)+1,1,1)-DATE(YEAR(B154),1,1))+YEAR(B154)-YEAR(B153)-1)</f>
        <v/>
      </c>
      <c r="F154" s="8">
        <f>K153</f>
        <v/>
      </c>
      <c r="G154" s="7">
        <f>$B$10</f>
        <v/>
      </c>
      <c r="H154" s="8">
        <f>F154*G154*E154</f>
        <v/>
      </c>
      <c r="I154" s="8">
        <f>SUM(H154:H154)</f>
        <v/>
      </c>
      <c r="J154" s="8">
        <f>$B$14-I154</f>
        <v/>
      </c>
      <c r="K154" s="8">
        <f>F154-J154</f>
        <v/>
      </c>
    </row>
    <row r="155">
      <c r="A155" t="n">
        <v>159</v>
      </c>
      <c r="B155" s="10">
        <f>MIN(DATE(YEAR($E$3),MONTH($E$3)+A155*$E$4,MIN($E$5,DAY(EOMONTH(DATE(YEAR($E$3),MONTH($E$3)+A155*$E$4,1),0)))),$B$6)</f>
        <v/>
      </c>
      <c r="C155" t="inlineStr">
        <is>
          <t>проценты, тело</t>
        </is>
      </c>
      <c r="D155">
        <f>B155-B154</f>
        <v/>
      </c>
      <c r="E155" s="11">
        <f>IF(YEAR(B154)=YEAR(B155),(B155-B154)/(DATE(YEAR(B154)+1,1,1)-DATE(YEAR(B154),1,1)),(DATE(YEAR(B154)+1,1,1)-B154)/(DATE(YEAR(B154)+1,1,1)-DATE(YEAR(B154),1,1))+(B155-DATE(YEAR(B155),1,1))/(DATE(YEAR(B155)+1,1,1)-DATE(YEAR(B155),1,1))+YEAR(B155)-YEAR(B154)-1)</f>
        <v/>
      </c>
      <c r="F155" s="8">
        <f>K154</f>
        <v/>
      </c>
      <c r="G155" s="7">
        <f>$B$10</f>
        <v/>
      </c>
      <c r="H155" s="8">
        <f>F155*G155*E155</f>
        <v/>
      </c>
      <c r="I155" s="8">
        <f>SUM(H155:H155)</f>
        <v/>
      </c>
      <c r="J155" s="8">
        <f>$B$14-I155</f>
        <v/>
      </c>
      <c r="K155" s="8">
        <f>F155-J155</f>
        <v/>
      </c>
    </row>
    <row r="156">
      <c r="A156" t="n">
        <v>160</v>
      </c>
      <c r="B156" s="10">
        <f>MIN(DATE(YEAR($E$3),MONTH($E$3)+A156*$E$4,MIN($E$5,DAY(EOMONTH(DATE(YEAR($E$3),MONTH($E$3)+A156*$E$4,1),0)))),$B$6)</f>
        <v/>
      </c>
      <c r="C156" t="inlineStr">
        <is>
          <t>проценты, тело</t>
        </is>
      </c>
      <c r="D156">
        <f>B156-B155</f>
        <v/>
      </c>
      <c r="E156" s="11">
        <f>IF(YEAR(B155)=YEAR(B156),(B156-B155)/(DATE(YEAR(B155)+1,1,1)-DATE(YEAR(B155),1,1)),(DATE(YEAR(B155)+1,1,1)-B155)/(DATE(YEAR(B155)+1,1,1)-DATE(YEAR(B155),1,1))+(B156-DATE(YEAR(B156),1,1))/(DATE(YEAR(B156)+1,1,1)-DATE(YEAR(B156),1,1))+YEAR(B156)-YEAR(B155)-1)</f>
        <v/>
      </c>
      <c r="F156" s="8">
        <f>K155</f>
        <v/>
      </c>
      <c r="G156" s="7">
        <f>$B$10</f>
        <v/>
      </c>
      <c r="H156" s="8">
        <f>F156*G156*E156</f>
        <v/>
      </c>
      <c r="I156" s="8">
        <f>SUM(H156:H156)</f>
        <v/>
      </c>
      <c r="J156" s="8">
        <f>$B$14-I156</f>
        <v/>
      </c>
      <c r="K156" s="8">
        <f>F156-J156</f>
        <v/>
      </c>
    </row>
    <row r="157">
      <c r="A157" t="n">
        <v>161</v>
      </c>
      <c r="B157" s="10">
        <f>MIN(DATE(YEAR($E$3),MONTH($E$3)+A157*$E$4,MIN($E$5,DAY(EOMONTH(DATE(YEAR($E$3),MONTH($E$3)+A157*$E$4,1),0)))),$B$6)</f>
        <v/>
      </c>
      <c r="C157" t="inlineStr">
        <is>
          <t>проценты, тело</t>
        </is>
      </c>
      <c r="D157">
        <f>B157-B156</f>
        <v/>
      </c>
      <c r="E157" s="11">
        <f>IF(YEAR(B156)=YEAR(B157),(B157-B156)/(DATE(YEAR(B156)+1,1,1)-DATE(YEAR(B156),1,1)),(DATE(YEAR(B156)+1,1,1)-B156)/(DATE(YEAR(B156)+1,1,1)-DATE(YEAR(B156),1,1))+(B157-DATE(YEAR(B157),1,1))/(DATE(YEAR(B157)+1,1,1)-DATE(YEAR(B157),1,1))+YEAR(B157)-YEAR(B156)-1)</f>
        <v/>
      </c>
      <c r="F157" s="8">
        <f>K156</f>
        <v/>
      </c>
      <c r="G157" s="7">
        <f>$B$10</f>
        <v/>
      </c>
      <c r="H157" s="8">
        <f>F157*G157*E157</f>
        <v/>
      </c>
      <c r="I157" s="8">
        <f>SUM(H157:H157)</f>
        <v/>
      </c>
      <c r="J157" s="8">
        <f>$B$14-I157</f>
        <v/>
      </c>
      <c r="K157" s="8">
        <f>F157-J157</f>
        <v/>
      </c>
    </row>
    <row r="158">
      <c r="A158" t="n">
        <v>162</v>
      </c>
      <c r="B158" s="10">
        <f>MIN(DATE(YEAR($E$3),MONTH($E$3)+A158*$E$4,MIN($E$5,DAY(EOMONTH(DATE(YEAR($E$3),MONTH($E$3)+A158*$E$4,1),0)))),$B$6)</f>
        <v/>
      </c>
      <c r="C158" t="inlineStr">
        <is>
          <t>проценты, тело</t>
        </is>
      </c>
      <c r="D158">
        <f>B158-B157</f>
        <v/>
      </c>
      <c r="E158" s="11">
        <f>IF(YEAR(B157)=YEAR(B158),(B158-B157)/(DATE(YEAR(B157)+1,1,1)-DATE(YEAR(B157),1,1)),(DATE(YEAR(B157)+1,1,1)-B157)/(DATE(YEAR(B157)+1,1,1)-DATE(YEAR(B157),1,1))+(B158-DATE(YEAR(B158),1,1))/(DATE(YEAR(B158)+1,1,1)-DATE(YEAR(B158),1,1))+YEAR(B158)-YEAR(B157)-1)</f>
        <v/>
      </c>
      <c r="F158" s="8">
        <f>K157</f>
        <v/>
      </c>
      <c r="G158" s="7">
        <f>$B$10</f>
        <v/>
      </c>
      <c r="H158" s="8">
        <f>F158*G158*E158</f>
        <v/>
      </c>
      <c r="I158" s="8">
        <f>SUM(H158:H158)</f>
        <v/>
      </c>
      <c r="J158" s="8">
        <f>$B$14-I158</f>
        <v/>
      </c>
      <c r="K158" s="8">
        <f>F158-J158</f>
        <v/>
      </c>
    </row>
    <row r="159">
      <c r="A159" t="n">
        <v>163</v>
      </c>
      <c r="B159" s="10">
        <f>MIN(DATE(YEAR($E$3),MONTH($E$3)+A159*$E$4,MIN($E$5,DAY(EOMONTH(DATE(YEAR($E$3),MONTH($E$3)+A159*$E$4,1),0)))),$B$6)</f>
        <v/>
      </c>
      <c r="C159" t="inlineStr">
        <is>
          <t>проценты, тело</t>
        </is>
      </c>
      <c r="D159">
        <f>B159-B158</f>
        <v/>
      </c>
      <c r="E159" s="11">
        <f>IF(YEAR(B158)=YEAR(B159),(B159-B158)/(DATE(YEAR(B158)+1,1,1)-DATE(YEAR(B158),1,1)),(DATE(YEAR(B158)+1,1,1)-B158)/(DATE(YEAR(B158)+1,1,1)-DATE(YEAR(B158),1,1))+(B159-DATE(YEAR(B159),1,1))/(DATE(YEAR(B159)+1,1,1)-DATE(YEAR(B159),1,1))+YEAR(B159)-YEAR(B158)-1)</f>
        <v/>
      </c>
      <c r="F159" s="8">
        <f>K158</f>
        <v/>
      </c>
      <c r="G159" s="7">
        <f>$B$10</f>
        <v/>
      </c>
      <c r="H159" s="8">
        <f>F159*G159*E159</f>
        <v/>
      </c>
      <c r="I159" s="8">
        <f>SUM(H159:H159)</f>
        <v/>
      </c>
      <c r="J159" s="8">
        <f>$B$14-I159</f>
        <v/>
      </c>
      <c r="K159" s="8">
        <f>F159-J159</f>
        <v/>
      </c>
    </row>
    <row r="160">
      <c r="A160" t="n">
        <v>164</v>
      </c>
      <c r="B160" s="10">
        <f>MIN(DATE(YEAR($E$3),MONTH($E$3)+A160*$E$4,MIN($E$5,DAY(EOMONTH(DATE(YEAR($E$3),MONTH($E$3)+A160*$E$4,1),0)))),$B$6)</f>
        <v/>
      </c>
      <c r="C160" t="inlineStr">
        <is>
          <t>проценты, тело</t>
        </is>
      </c>
      <c r="D160">
        <f>B160-B159</f>
        <v/>
      </c>
      <c r="E160" s="11">
        <f>IF(YEAR(B159)=YEAR(B160),(B160-B159)/(DATE(YEAR(B159)+1,1,1)-DATE(YEAR(B159),1,1)),(DATE(YEAR(B159)+1,1,1)-B159)/(DATE(YEAR(B159)+1,1,1)-DATE(YEAR(B159),1,1))+(B160-DATE(YEAR(B160),1,1))/(DATE(YEAR(B160)+1,1,1)-DATE(YEAR(B160),1,1))+YEAR(B160)-YEAR(B159)-1)</f>
        <v/>
      </c>
      <c r="F160" s="8">
        <f>K159</f>
        <v/>
      </c>
      <c r="G160" s="7">
        <f>$B$10</f>
        <v/>
      </c>
      <c r="H160" s="8">
        <f>F160*G160*E160</f>
        <v/>
      </c>
      <c r="I160" s="8">
        <f>SUM(H160:H160)</f>
        <v/>
      </c>
      <c r="J160" s="8">
        <f>$B$14-I160</f>
        <v/>
      </c>
      <c r="K160" s="8">
        <f>F160-J160</f>
        <v/>
      </c>
    </row>
    <row r="161">
      <c r="A161" t="n">
        <v>165</v>
      </c>
      <c r="B161" s="10">
        <f>MIN(DATE(YEAR($E$3),MONTH($E$3)+A161*$E$4,MIN($E$5,DAY(EOMONTH(DATE(YEAR($E$3),MONTH($E$3)+A161*$E$4,1),0)))),$B$6)</f>
        <v/>
      </c>
      <c r="C161" t="inlineStr">
        <is>
          <t>проценты, тело</t>
        </is>
      </c>
      <c r="D161">
        <f>B161-B160</f>
        <v/>
      </c>
      <c r="E161" s="11">
        <f>IF(YEAR(B160)=YEAR(B161),(B161-B160)/(DATE(YEAR(B160)+1,1,1)-DATE(YEAR(B160),1,1)),(DATE(YEAR(B160)+1,1,1)-B160)/(DATE(YEAR(B160)+1,1,1)-DATE(YEAR(B160),1,1))+(B161-DATE(YEAR(B161),1,1))/(DATE(YEAR(B161)+1,1,1)-DATE(YEAR(B161),1,1))+YEAR(B161)-YEAR(B160)-1)</f>
        <v/>
      </c>
      <c r="F161" s="8">
        <f>K160</f>
        <v/>
      </c>
      <c r="G161" s="7">
        <f>$B$10</f>
        <v/>
      </c>
      <c r="H161" s="8">
        <f>F161*G161*E161</f>
        <v/>
      </c>
      <c r="I161" s="8">
        <f>SUM(H161:H161)</f>
        <v/>
      </c>
      <c r="J161" s="8">
        <f>$B$14-I161</f>
        <v/>
      </c>
      <c r="K161" s="8">
        <f>F161-J161</f>
        <v/>
      </c>
    </row>
    <row r="162">
      <c r="A162" t="n">
        <v>166</v>
      </c>
      <c r="B162" s="10">
        <f>MIN(DATE(YEAR($E$3),MONTH($E$3)+A162*$E$4,MIN($E$5,DAY(EOMONTH(DATE(YEAR($E$3),MONTH($E$3)+A162*$E$4,1),0)))),$B$6)</f>
        <v/>
      </c>
      <c r="C162" t="inlineStr">
        <is>
          <t>проценты, тело</t>
        </is>
      </c>
      <c r="D162">
        <f>B162-B161</f>
        <v/>
      </c>
      <c r="E162" s="11">
        <f>IF(YEAR(B161)=YEAR(B162),(B162-B161)/(DATE(YEAR(B161)+1,1,1)-DATE(YEAR(B161),1,1)),(DATE(YEAR(B161)+1,1,1)-B161)/(DATE(YEAR(B161)+1,1,1)-DATE(YEAR(B161),1,1))+(B162-DATE(YEAR(B162),1,1))/(DATE(YEAR(B162)+1,1,1)-DATE(YEAR(B162),1,1))+YEAR(B162)-YEAR(B161)-1)</f>
        <v/>
      </c>
      <c r="F162" s="8">
        <f>K161</f>
        <v/>
      </c>
      <c r="G162" s="7">
        <f>$B$10</f>
        <v/>
      </c>
      <c r="H162" s="8">
        <f>F162*G162*E162</f>
        <v/>
      </c>
      <c r="I162" s="8">
        <f>SUM(H162:H162)</f>
        <v/>
      </c>
      <c r="J162" s="8">
        <f>$B$14-I162</f>
        <v/>
      </c>
      <c r="K162" s="8">
        <f>F162-J162</f>
        <v/>
      </c>
    </row>
    <row r="163">
      <c r="A163" t="n">
        <v>167</v>
      </c>
      <c r="B163" s="10">
        <f>MIN(DATE(YEAR($E$3),MONTH($E$3)+A163*$E$4,MIN($E$5,DAY(EOMONTH(DATE(YEAR($E$3),MONTH($E$3)+A163*$E$4,1),0)))),$B$6)</f>
        <v/>
      </c>
      <c r="C163" t="inlineStr">
        <is>
          <t>проценты, тело</t>
        </is>
      </c>
      <c r="D163">
        <f>B163-B162</f>
        <v/>
      </c>
      <c r="E163" s="11">
        <f>IF(YEAR(B162)=YEAR(B163),(B163-B162)/(DATE(YEAR(B162)+1,1,1)-DATE(YEAR(B162),1,1)),(DATE(YEAR(B162)+1,1,1)-B162)/(DATE(YEAR(B162)+1,1,1)-DATE(YEAR(B162),1,1))+(B163-DATE(YEAR(B163),1,1))/(DATE(YEAR(B163)+1,1,1)-DATE(YEAR(B163),1,1))+YEAR(B163)-YEAR(B162)-1)</f>
        <v/>
      </c>
      <c r="F163" s="8">
        <f>K162</f>
        <v/>
      </c>
      <c r="G163" s="7">
        <f>$B$10</f>
        <v/>
      </c>
      <c r="H163" s="8">
        <f>F163*G163*E163</f>
        <v/>
      </c>
      <c r="I163" s="8">
        <f>SUM(H163:H163)</f>
        <v/>
      </c>
      <c r="J163" s="8">
        <f>$B$14-I163</f>
        <v/>
      </c>
      <c r="K163" s="8">
        <f>F163-J163</f>
        <v/>
      </c>
    </row>
    <row r="164">
      <c r="A164" t="n">
        <v>168</v>
      </c>
      <c r="B164" s="10">
        <f>MIN(DATE(YEAR($E$3),MONTH($E$3)+A164*$E$4,MIN($E$5,DAY(EOMONTH(DATE(YEAR($E$3),MONTH($E$3)+A164*$E$4,1),0)))),$B$6)</f>
        <v/>
      </c>
      <c r="C164" t="inlineStr">
        <is>
          <t>проценты, тело</t>
        </is>
      </c>
      <c r="D164">
        <f>B164-B163</f>
        <v/>
      </c>
      <c r="E164" s="11">
        <f>IF(YEAR(B163)=YEAR(B164),(B164-B163)/(DATE(YEAR(B163)+1,1,1)-DATE(YEAR(B163),1,1)),(DATE(YEAR(B163)+1,1,1)-B163)/(DATE(YEAR(B163)+1,1,1)-DATE(YEAR(B163),1,1))+(B164-DATE(YEAR(B164),1,1))/(DATE(YEAR(B164)+1,1,1)-DATE(YEAR(B164),1,1))+YEAR(B164)-YEAR(B163)-1)</f>
        <v/>
      </c>
      <c r="F164" s="8">
        <f>K163</f>
        <v/>
      </c>
      <c r="G164" s="7">
        <f>$B$10</f>
        <v/>
      </c>
      <c r="H164" s="8">
        <f>F164*G164*E164</f>
        <v/>
      </c>
      <c r="I164" s="8">
        <f>SUM(H164:H164)</f>
        <v/>
      </c>
      <c r="J164" s="8">
        <f>$B$14-I164</f>
        <v/>
      </c>
      <c r="K164" s="8">
        <f>F164-J164</f>
        <v/>
      </c>
    </row>
    <row r="165">
      <c r="A165" t="n">
        <v>169</v>
      </c>
      <c r="B165" s="10">
        <f>MIN(DATE(YEAR($E$3),MONTH($E$3)+A165*$E$4,MIN($E$5,DAY(EOMONTH(DATE(YEAR($E$3),MONTH($E$3)+A165*$E$4,1),0)))),$B$6)</f>
        <v/>
      </c>
      <c r="C165" t="inlineStr">
        <is>
          <t>проценты, тело</t>
        </is>
      </c>
      <c r="D165">
        <f>B165-B164</f>
        <v/>
      </c>
      <c r="E165" s="11">
        <f>IF(YEAR(B164)=YEAR(B165),(B165-B164)/(DATE(YEAR(B164)+1,1,1)-DATE(YEAR(B164),1,1)),(DATE(YEAR(B164)+1,1,1)-B164)/(DATE(YEAR(B164)+1,1,1)-DATE(YEAR(B164),1,1))+(B165-DATE(YEAR(B165),1,1))/(DATE(YEAR(B165)+1,1,1)-DATE(YEAR(B165),1,1))+YEAR(B165)-YEAR(B164)-1)</f>
        <v/>
      </c>
      <c r="F165" s="8">
        <f>K164</f>
        <v/>
      </c>
      <c r="G165" s="7">
        <f>$B$10</f>
        <v/>
      </c>
      <c r="H165" s="8">
        <f>F165*G165*E165</f>
        <v/>
      </c>
      <c r="I165" s="8">
        <f>SUM(H165:H165)</f>
        <v/>
      </c>
      <c r="J165" s="8">
        <f>$B$14-I165</f>
        <v/>
      </c>
      <c r="K165" s="8">
        <f>F165-J165</f>
        <v/>
      </c>
    </row>
    <row r="166">
      <c r="A166" t="n">
        <v>170</v>
      </c>
      <c r="B166" s="10">
        <f>MIN(DATE(YEAR($E$3),MONTH($E$3)+A166*$E$4,MIN($E$5,DAY(EOMONTH(DATE(YEAR($E$3),MONTH($E$3)+A166*$E$4,1),0)))),$B$6)</f>
        <v/>
      </c>
      <c r="C166" t="inlineStr">
        <is>
          <t>проценты, тело</t>
        </is>
      </c>
      <c r="D166">
        <f>B166-B165</f>
        <v/>
      </c>
      <c r="E166" s="11">
        <f>IF(YEAR(B165)=YEAR(B166),(B166-B165)/(DATE(YEAR(B165)+1,1,1)-DATE(YEAR(B165),1,1)),(DATE(YEAR(B165)+1,1,1)-B165)/(DATE(YEAR(B165)+1,1,1)-DATE(YEAR(B165),1,1))+(B166-DATE(YEAR(B166),1,1))/(DATE(YEAR(B166)+1,1,1)-DATE(YEAR(B166),1,1))+YEAR(B166)-YEAR(B165)-1)</f>
        <v/>
      </c>
      <c r="F166" s="8">
        <f>K165</f>
        <v/>
      </c>
      <c r="G166" s="7">
        <f>$B$10</f>
        <v/>
      </c>
      <c r="H166" s="8">
        <f>F166*G166*E166</f>
        <v/>
      </c>
      <c r="I166" s="8">
        <f>SUM(H166:H166)</f>
        <v/>
      </c>
      <c r="J166" s="8">
        <f>$B$14-I166</f>
        <v/>
      </c>
      <c r="K166" s="8">
        <f>F166-J166</f>
        <v/>
      </c>
    </row>
    <row r="167">
      <c r="A167" t="n">
        <v>171</v>
      </c>
      <c r="B167" s="10">
        <f>MIN(DATE(YEAR($E$3),MONTH($E$3)+A167*$E$4,MIN($E$5,DAY(EOMONTH(DATE(YEAR($E$3),MONTH($E$3)+A167*$E$4,1),0)))),$B$6)</f>
        <v/>
      </c>
      <c r="C167" t="inlineStr">
        <is>
          <t>проценты, тело</t>
        </is>
      </c>
      <c r="D167">
        <f>B167-B166</f>
        <v/>
      </c>
      <c r="E167" s="11">
        <f>IF(YEAR(B166)=YEAR(B167),(B167-B166)/(DATE(YEAR(B166)+1,1,1)-DATE(YEAR(B166),1,1)),(DATE(YEAR(B166)+1,1,1)-B166)/(DATE(YEAR(B166)+1,1,1)-DATE(YEAR(B166),1,1))+(B167-DATE(YEAR(B167),1,1))/(DATE(YEAR(B167)+1,1,1)-DATE(YEAR(B167),1,1))+YEAR(B167)-YEAR(B166)-1)</f>
        <v/>
      </c>
      <c r="F167" s="8">
        <f>K166</f>
        <v/>
      </c>
      <c r="G167" s="7">
        <f>$B$10</f>
        <v/>
      </c>
      <c r="H167" s="8">
        <f>F167*G167*E167</f>
        <v/>
      </c>
      <c r="I167" s="8">
        <f>SUM(H167:H167)</f>
        <v/>
      </c>
      <c r="J167" s="8">
        <f>$B$14-I167</f>
        <v/>
      </c>
      <c r="K167" s="8">
        <f>F167-J167</f>
        <v/>
      </c>
    </row>
    <row r="168">
      <c r="A168" t="n">
        <v>172</v>
      </c>
      <c r="B168" s="10">
        <f>MIN(DATE(YEAR($E$3),MONTH($E$3)+A168*$E$4,MIN($E$5,DAY(EOMONTH(DATE(YEAR($E$3),MONTH($E$3)+A168*$E$4,1),0)))),$B$6)</f>
        <v/>
      </c>
      <c r="C168" t="inlineStr">
        <is>
          <t>проценты, тело</t>
        </is>
      </c>
      <c r="D168">
        <f>B168-B167</f>
        <v/>
      </c>
      <c r="E168" s="11">
        <f>IF(YEAR(B167)=YEAR(B168),(B168-B167)/(DATE(YEAR(B167)+1,1,1)-DATE(YEAR(B167),1,1)),(DATE(YEAR(B167)+1,1,1)-B167)/(DATE(YEAR(B167)+1,1,1)-DATE(YEAR(B167),1,1))+(B168-DATE(YEAR(B168),1,1))/(DATE(YEAR(B168)+1,1,1)-DATE(YEAR(B168),1,1))+YEAR(B168)-YEAR(B167)-1)</f>
        <v/>
      </c>
      <c r="F168" s="8">
        <f>K167</f>
        <v/>
      </c>
      <c r="G168" s="7">
        <f>$B$10</f>
        <v/>
      </c>
      <c r="H168" s="8">
        <f>F168*G168*E168</f>
        <v/>
      </c>
      <c r="I168" s="8">
        <f>SUM(H168:H168)</f>
        <v/>
      </c>
      <c r="J168" s="8">
        <f>$B$14-I168</f>
        <v/>
      </c>
      <c r="K168" s="8">
        <f>F168-J168</f>
        <v/>
      </c>
    </row>
    <row r="169">
      <c r="A169" t="n">
        <v>173</v>
      </c>
      <c r="B169" s="10">
        <f>MIN(DATE(YEAR($E$3),MONTH($E$3)+A169*$E$4,MIN($E$5,DAY(EOMONTH(DATE(YEAR($E$3),MONTH($E$3)+A169*$E$4,1),0)))),$B$6)</f>
        <v/>
      </c>
      <c r="C169" t="inlineStr">
        <is>
          <t>проценты, тело</t>
        </is>
      </c>
      <c r="D169">
        <f>B169-B168</f>
        <v/>
      </c>
      <c r="E169" s="11">
        <f>IF(YEAR(B168)=YEAR(B169),(B169-B168)/(DATE(YEAR(B168)+1,1,1)-DATE(YEAR(B168),1,1)),(DATE(YEAR(B168)+1,1,1)-B168)/(DATE(YEAR(B168)+1,1,1)-DATE(YEAR(B168),1,1))+(B169-DATE(YEAR(B169),1,1))/(DATE(YEAR(B169)+1,1,1)-DATE(YEAR(B169),1,1))+YEAR(B169)-YEAR(B168)-1)</f>
        <v/>
      </c>
      <c r="F169" s="8">
        <f>K168</f>
        <v/>
      </c>
      <c r="G169" s="7">
        <f>$B$10</f>
        <v/>
      </c>
      <c r="H169" s="8">
        <f>F169*G169*E169</f>
        <v/>
      </c>
      <c r="I169" s="8">
        <f>SUM(H169:H169)</f>
        <v/>
      </c>
      <c r="J169" s="8">
        <f>$B$14-I169</f>
        <v/>
      </c>
      <c r="K169" s="8">
        <f>F169-J169</f>
        <v/>
      </c>
    </row>
    <row r="170">
      <c r="A170" t="n">
        <v>174</v>
      </c>
      <c r="B170" s="10">
        <f>MIN(DATE(YEAR($E$3),MONTH($E$3)+A170*$E$4,MIN($E$5,DAY(EOMONTH(DATE(YEAR($E$3),MONTH($E$3)+A170*$E$4,1),0)))),$B$6)</f>
        <v/>
      </c>
      <c r="C170" t="inlineStr">
        <is>
          <t>проценты, тело</t>
        </is>
      </c>
      <c r="D170">
        <f>B170-B169</f>
        <v/>
      </c>
      <c r="E170" s="11">
        <f>IF(YEAR(B169)=YEAR(B170),(B170-B169)/(DATE(YEAR(B169)+1,1,1)-DATE(YEAR(B169),1,1)),(DATE(YEAR(B169)+1,1,1)-B169)/(DATE(YEAR(B169)+1,1,1)-DATE(YEAR(B169),1,1))+(B170-DATE(YEAR(B170),1,1))/(DATE(YEAR(B170)+1,1,1)-DATE(YEAR(B170),1,1))+YEAR(B170)-YEAR(B169)-1)</f>
        <v/>
      </c>
      <c r="F170" s="8">
        <f>K169</f>
        <v/>
      </c>
      <c r="G170" s="7">
        <f>$B$10</f>
        <v/>
      </c>
      <c r="H170" s="8">
        <f>F170*G170*E170</f>
        <v/>
      </c>
      <c r="I170" s="8">
        <f>SUM(H170:H170)</f>
        <v/>
      </c>
      <c r="J170" s="8">
        <f>$B$14-I170</f>
        <v/>
      </c>
      <c r="K170" s="8">
        <f>F170-J170</f>
        <v/>
      </c>
    </row>
    <row r="171">
      <c r="A171" t="n">
        <v>175</v>
      </c>
      <c r="B171" s="10">
        <f>MIN(DATE(YEAR($E$3),MONTH($E$3)+A171*$E$4,MIN($E$5,DAY(EOMONTH(DATE(YEAR($E$3),MONTH($E$3)+A171*$E$4,1),0)))),$B$6)</f>
        <v/>
      </c>
      <c r="C171" t="inlineStr">
        <is>
          <t>проценты, тело</t>
        </is>
      </c>
      <c r="D171">
        <f>B171-B170</f>
        <v/>
      </c>
      <c r="E171" s="11">
        <f>IF(YEAR(B170)=YEAR(B171),(B171-B170)/(DATE(YEAR(B170)+1,1,1)-DATE(YEAR(B170),1,1)),(DATE(YEAR(B170)+1,1,1)-B170)/(DATE(YEAR(B170)+1,1,1)-DATE(YEAR(B170),1,1))+(B171-DATE(YEAR(B171),1,1))/(DATE(YEAR(B171)+1,1,1)-DATE(YEAR(B171),1,1))+YEAR(B171)-YEAR(B170)-1)</f>
        <v/>
      </c>
      <c r="F171" s="8">
        <f>K170</f>
        <v/>
      </c>
      <c r="G171" s="7">
        <f>$B$10</f>
        <v/>
      </c>
      <c r="H171" s="8">
        <f>F171*G171*E171</f>
        <v/>
      </c>
      <c r="I171" s="8">
        <f>SUM(H171:H171)</f>
        <v/>
      </c>
      <c r="J171" s="8">
        <f>$B$14-I171</f>
        <v/>
      </c>
      <c r="K171" s="8">
        <f>F171-J171</f>
        <v/>
      </c>
    </row>
    <row r="172">
      <c r="A172" t="n">
        <v>176</v>
      </c>
      <c r="B172" s="10">
        <f>MIN(DATE(YEAR($E$3),MONTH($E$3)+A172*$E$4,MIN($E$5,DAY(EOMONTH(DATE(YEAR($E$3),MONTH($E$3)+A172*$E$4,1),0)))),$B$6)</f>
        <v/>
      </c>
      <c r="C172" t="inlineStr">
        <is>
          <t>проценты, тело</t>
        </is>
      </c>
      <c r="D172">
        <f>B172-B171</f>
        <v/>
      </c>
      <c r="E172" s="11">
        <f>IF(YEAR(B171)=YEAR(B172),(B172-B171)/(DATE(YEAR(B171)+1,1,1)-DATE(YEAR(B171),1,1)),(DATE(YEAR(B171)+1,1,1)-B171)/(DATE(YEAR(B171)+1,1,1)-DATE(YEAR(B171),1,1))+(B172-DATE(YEAR(B172),1,1))/(DATE(YEAR(B172)+1,1,1)-DATE(YEAR(B172),1,1))+YEAR(B172)-YEAR(B171)-1)</f>
        <v/>
      </c>
      <c r="F172" s="8">
        <f>K171</f>
        <v/>
      </c>
      <c r="G172" s="7">
        <f>$B$10</f>
        <v/>
      </c>
      <c r="H172" s="8">
        <f>F172*G172*E172</f>
        <v/>
      </c>
      <c r="I172" s="8">
        <f>SUM(H172:H172)</f>
        <v/>
      </c>
      <c r="J172" s="8">
        <f>$B$14-I172</f>
        <v/>
      </c>
      <c r="K172" s="8">
        <f>F172-J172</f>
        <v/>
      </c>
    </row>
    <row r="173">
      <c r="A173" t="n">
        <v>177</v>
      </c>
      <c r="B173" s="10">
        <f>MIN(DATE(YEAR($E$3),MONTH($E$3)+A173*$E$4,MIN($E$5,DAY(EOMONTH(DATE(YEAR($E$3),MONTH($E$3)+A173*$E$4,1),0)))),$B$6)</f>
        <v/>
      </c>
      <c r="C173" t="inlineStr">
        <is>
          <t>проценты, тело</t>
        </is>
      </c>
      <c r="D173">
        <f>B173-B172</f>
        <v/>
      </c>
      <c r="E173" s="11">
        <f>IF(YEAR(B172)=YEAR(B173),(B173-B172)/(DATE(YEAR(B172)+1,1,1)-DATE(YEAR(B172),1,1)),(DATE(YEAR(B172)+1,1,1)-B172)/(DATE(YEAR(B172)+1,1,1)-DATE(YEAR(B172),1,1))+(B173-DATE(YEAR(B173),1,1))/(DATE(YEAR(B173)+1,1,1)-DATE(YEAR(B173),1,1))+YEAR(B173)-YEAR(B172)-1)</f>
        <v/>
      </c>
      <c r="F173" s="8">
        <f>K172</f>
        <v/>
      </c>
      <c r="G173" s="7">
        <f>$B$10</f>
        <v/>
      </c>
      <c r="H173" s="8">
        <f>F173*G173*E173</f>
        <v/>
      </c>
      <c r="I173" s="8">
        <f>SUM(H173:H173)</f>
        <v/>
      </c>
      <c r="J173" s="8">
        <f>$B$14-I173</f>
        <v/>
      </c>
      <c r="K173" s="8">
        <f>F173-J173</f>
        <v/>
      </c>
    </row>
    <row r="174">
      <c r="A174" t="n">
        <v>178</v>
      </c>
      <c r="B174" s="10">
        <f>MIN(DATE(YEAR($E$3),MONTH($E$3)+A174*$E$4,MIN($E$5,DAY(EOMONTH(DATE(YEAR($E$3),MONTH($E$3)+A174*$E$4,1),0)))),$B$6)</f>
        <v/>
      </c>
      <c r="C174" t="inlineStr">
        <is>
          <t>проценты, тело</t>
        </is>
      </c>
      <c r="D174">
        <f>B174-B173</f>
        <v/>
      </c>
      <c r="E174" s="11">
        <f>IF(YEAR(B173)=YEAR(B174),(B174-B173)/(DATE(YEAR(B173)+1,1,1)-DATE(YEAR(B173),1,1)),(DATE(YEAR(B173)+1,1,1)-B173)/(DATE(YEAR(B173)+1,1,1)-DATE(YEAR(B173),1,1))+(B174-DATE(YEAR(B174),1,1))/(DATE(YEAR(B174)+1,1,1)-DATE(YEAR(B174),1,1))+YEAR(B174)-YEAR(B173)-1)</f>
        <v/>
      </c>
      <c r="F174" s="8">
        <f>K173</f>
        <v/>
      </c>
      <c r="G174" s="7">
        <f>$B$10</f>
        <v/>
      </c>
      <c r="H174" s="8">
        <f>F174*G174*E174</f>
        <v/>
      </c>
      <c r="I174" s="8">
        <f>SUM(H174:H174)</f>
        <v/>
      </c>
      <c r="J174" s="8">
        <f>$B$14-I174</f>
        <v/>
      </c>
      <c r="K174" s="8">
        <f>F174-J174</f>
        <v/>
      </c>
    </row>
    <row r="175">
      <c r="A175" t="n">
        <v>179</v>
      </c>
      <c r="B175" s="10">
        <f>MIN(DATE(YEAR($E$3),MONTH($E$3)+A175*$E$4,MIN($E$5,DAY(EOMONTH(DATE(YEAR($E$3),MONTH($E$3)+A175*$E$4,1),0)))),$B$6)</f>
        <v/>
      </c>
      <c r="C175" t="inlineStr">
        <is>
          <t>проценты, тело</t>
        </is>
      </c>
      <c r="D175">
        <f>B175-B174</f>
        <v/>
      </c>
      <c r="E175" s="11">
        <f>IF(YEAR(B174)=YEAR(B175),(B175-B174)/(DATE(YEAR(B174)+1,1,1)-DATE(YEAR(B174),1,1)),(DATE(YEAR(B174)+1,1,1)-B174)/(DATE(YEAR(B174)+1,1,1)-DATE(YEAR(B174),1,1))+(B175-DATE(YEAR(B175),1,1))/(DATE(YEAR(B175)+1,1,1)-DATE(YEAR(B175),1,1))+YEAR(B175)-YEAR(B174)-1)</f>
        <v/>
      </c>
      <c r="F175" s="8">
        <f>K174</f>
        <v/>
      </c>
      <c r="G175" s="7">
        <f>$B$10</f>
        <v/>
      </c>
      <c r="H175" s="8">
        <f>F175*G175*E175</f>
        <v/>
      </c>
      <c r="I175" s="8">
        <f>SUM(H175:H175)</f>
        <v/>
      </c>
      <c r="J175" s="8">
        <f>$B$14-I175</f>
        <v/>
      </c>
      <c r="K175" s="8">
        <f>F175-J175</f>
        <v/>
      </c>
    </row>
    <row r="176">
      <c r="A176" t="n">
        <v>180</v>
      </c>
      <c r="B176" s="10">
        <f>MIN(DATE(YEAR($E$3),MONTH($E$3)+A176*$E$4,MIN($E$5,DAY(EOMONTH(DATE(YEAR($E$3),MONTH($E$3)+A176*$E$4,1),0)))),$B$6)</f>
        <v/>
      </c>
      <c r="C176" t="inlineStr">
        <is>
          <t>проценты, тело</t>
        </is>
      </c>
      <c r="D176">
        <f>B176-B175</f>
        <v/>
      </c>
      <c r="E176" s="11">
        <f>IF(YEAR(B175)=YEAR(B176),(B176-B175)/(DATE(YEAR(B175)+1,1,1)-DATE(YEAR(B175),1,1)),(DATE(YEAR(B175)+1,1,1)-B175)/(DATE(YEAR(B175)+1,1,1)-DATE(YEAR(B175),1,1))+(B176-DATE(YEAR(B176),1,1))/(DATE(YEAR(B176)+1,1,1)-DATE(YEAR(B176),1,1))+YEAR(B176)-YEAR(B175)-1)</f>
        <v/>
      </c>
      <c r="F176" s="8">
        <f>K175</f>
        <v/>
      </c>
      <c r="G176" s="7">
        <f>$B$10</f>
        <v/>
      </c>
      <c r="H176" s="8">
        <f>F176*G176*E176</f>
        <v/>
      </c>
      <c r="I176" s="8">
        <f>SUM(H176:H176)</f>
        <v/>
      </c>
      <c r="J176" s="8">
        <f>$B$14-I176</f>
        <v/>
      </c>
      <c r="K176" s="8">
        <f>F176-J176</f>
        <v/>
      </c>
    </row>
    <row r="177">
      <c r="A177" t="n">
        <v>181</v>
      </c>
      <c r="B177" s="10">
        <f>MIN(DATE(YEAR($E$3),MONTH($E$3)+A177*$E$4,MIN($E$5,DAY(EOMONTH(DATE(YEAR($E$3),MONTH($E$3)+A177*$E$4,1),0)))),$B$6)</f>
        <v/>
      </c>
      <c r="C177" t="inlineStr">
        <is>
          <t>проценты, тело</t>
        </is>
      </c>
      <c r="D177">
        <f>B177-B176</f>
        <v/>
      </c>
      <c r="E177" s="11">
        <f>IF(YEAR(B176)=YEAR(B177),(B177-B176)/(DATE(YEAR(B176)+1,1,1)-DATE(YEAR(B176),1,1)),(DATE(YEAR(B176)+1,1,1)-B176)/(DATE(YEAR(B176)+1,1,1)-DATE(YEAR(B176),1,1))+(B177-DATE(YEAR(B177),1,1))/(DATE(YEAR(B177)+1,1,1)-DATE(YEAR(B177),1,1))+YEAR(B177)-YEAR(B176)-1)</f>
        <v/>
      </c>
      <c r="F177" s="8">
        <f>K176</f>
        <v/>
      </c>
      <c r="G177" s="7">
        <f>$B$10</f>
        <v/>
      </c>
      <c r="H177" s="8">
        <f>F177*G177*E177</f>
        <v/>
      </c>
      <c r="I177" s="8">
        <f>SUM(H177:H177)</f>
        <v/>
      </c>
      <c r="J177" s="8">
        <f>$B$14-I177</f>
        <v/>
      </c>
      <c r="K177" s="8">
        <f>F177-J177</f>
        <v/>
      </c>
    </row>
    <row r="178">
      <c r="A178" t="n">
        <v>182</v>
      </c>
      <c r="B178" s="10">
        <f>MIN(DATE(YEAR($E$3),MONTH($E$3)+A178*$E$4,MIN($E$5,DAY(EOMONTH(DATE(YEAR($E$3),MONTH($E$3)+A178*$E$4,1),0)))),$B$6)</f>
        <v/>
      </c>
      <c r="C178" t="inlineStr">
        <is>
          <t>проценты, тело</t>
        </is>
      </c>
      <c r="D178">
        <f>B178-B177</f>
        <v/>
      </c>
      <c r="E178" s="11">
        <f>IF(YEAR(B177)=YEAR(B178),(B178-B177)/(DATE(YEAR(B177)+1,1,1)-DATE(YEAR(B177),1,1)),(DATE(YEAR(B177)+1,1,1)-B177)/(DATE(YEAR(B177)+1,1,1)-DATE(YEAR(B177),1,1))+(B178-DATE(YEAR(B178),1,1))/(DATE(YEAR(B178)+1,1,1)-DATE(YEAR(B178),1,1))+YEAR(B178)-YEAR(B177)-1)</f>
        <v/>
      </c>
      <c r="F178" s="8">
        <f>K177</f>
        <v/>
      </c>
      <c r="G178" s="7">
        <f>$B$10</f>
        <v/>
      </c>
      <c r="H178" s="8">
        <f>F178*G178*E178</f>
        <v/>
      </c>
      <c r="I178" s="8">
        <f>SUM(H178:H178)</f>
        <v/>
      </c>
      <c r="J178" s="8">
        <f>$B$14-I178</f>
        <v/>
      </c>
      <c r="K178" s="8">
        <f>F178-J178</f>
        <v/>
      </c>
    </row>
    <row r="179">
      <c r="A179" t="n">
        <v>183</v>
      </c>
      <c r="B179" s="10">
        <f>MIN(DATE(YEAR($E$3),MONTH($E$3)+A179*$E$4,MIN($E$5,DAY(EOMONTH(DATE(YEAR($E$3),MONTH($E$3)+A179*$E$4,1),0)))),$B$6)</f>
        <v/>
      </c>
      <c r="C179" t="inlineStr">
        <is>
          <t>проценты, тело</t>
        </is>
      </c>
      <c r="D179">
        <f>B179-B178</f>
        <v/>
      </c>
      <c r="E179" s="11">
        <f>IF(YEAR(B178)=YEAR(B179),(B179-B178)/(DATE(YEAR(B178)+1,1,1)-DATE(YEAR(B178),1,1)),(DATE(YEAR(B178)+1,1,1)-B178)/(DATE(YEAR(B178)+1,1,1)-DATE(YEAR(B178),1,1))+(B179-DATE(YEAR(B179),1,1))/(DATE(YEAR(B179)+1,1,1)-DATE(YEAR(B179),1,1))+YEAR(B179)-YEAR(B178)-1)</f>
        <v/>
      </c>
      <c r="F179" s="8">
        <f>K178</f>
        <v/>
      </c>
      <c r="G179" s="7">
        <f>$B$10</f>
        <v/>
      </c>
      <c r="H179" s="8">
        <f>F179*G179*E179</f>
        <v/>
      </c>
      <c r="I179" s="8">
        <f>SUM(H179:H179)</f>
        <v/>
      </c>
      <c r="J179" s="8">
        <f>$B$14-I179</f>
        <v/>
      </c>
      <c r="K179" s="8">
        <f>F179-J179</f>
        <v/>
      </c>
    </row>
    <row r="180">
      <c r="A180" t="n">
        <v>184</v>
      </c>
      <c r="B180" s="10">
        <f>MIN(DATE(YEAR($E$3),MONTH($E$3)+A180*$E$4,MIN($E$5,DAY(EOMONTH(DATE(YEAR($E$3),MONTH($E$3)+A180*$E$4,1),0)))),$B$6)</f>
        <v/>
      </c>
      <c r="C180" t="inlineStr">
        <is>
          <t>проценты, тело</t>
        </is>
      </c>
      <c r="D180">
        <f>B180-B179</f>
        <v/>
      </c>
      <c r="E180" s="11">
        <f>IF(YEAR(B179)=YEAR(B180),(B180-B179)/(DATE(YEAR(B179)+1,1,1)-DATE(YEAR(B179),1,1)),(DATE(YEAR(B179)+1,1,1)-B179)/(DATE(YEAR(B179)+1,1,1)-DATE(YEAR(B179),1,1))+(B180-DATE(YEAR(B180),1,1))/(DATE(YEAR(B180)+1,1,1)-DATE(YEAR(B180),1,1))+YEAR(B180)-YEAR(B179)-1)</f>
        <v/>
      </c>
      <c r="F180" s="8">
        <f>K179</f>
        <v/>
      </c>
      <c r="G180" s="7">
        <f>$B$10</f>
        <v/>
      </c>
      <c r="H180" s="8">
        <f>F180*G180*E180</f>
        <v/>
      </c>
      <c r="I180" s="8">
        <f>SUM(H180:H180)</f>
        <v/>
      </c>
      <c r="J180" s="8">
        <f>$B$14-I180</f>
        <v/>
      </c>
      <c r="K180" s="8">
        <f>F180-J180</f>
        <v/>
      </c>
    </row>
    <row r="181">
      <c r="A181" t="n">
        <v>185</v>
      </c>
      <c r="B181" s="10">
        <f>MIN(DATE(YEAR($E$3),MONTH($E$3)+A181*$E$4,MIN($E$5,DAY(EOMONTH(DATE(YEAR($E$3),MONTH($E$3)+A181*$E$4,1),0)))),$B$6)</f>
        <v/>
      </c>
      <c r="C181" t="inlineStr">
        <is>
          <t>проценты, тело</t>
        </is>
      </c>
      <c r="D181">
        <f>B181-B180</f>
        <v/>
      </c>
      <c r="E181" s="11">
        <f>IF(YEAR(B180)=YEAR(B181),(B181-B180)/(DATE(YEAR(B180)+1,1,1)-DATE(YEAR(B180),1,1)),(DATE(YEAR(B180)+1,1,1)-B180)/(DATE(YEAR(B180)+1,1,1)-DATE(YEAR(B180),1,1))+(B181-DATE(YEAR(B181),1,1))/(DATE(YEAR(B181)+1,1,1)-DATE(YEAR(B181),1,1))+YEAR(B181)-YEAR(B180)-1)</f>
        <v/>
      </c>
      <c r="F181" s="8">
        <f>K180</f>
        <v/>
      </c>
      <c r="G181" s="7">
        <f>$B$10</f>
        <v/>
      </c>
      <c r="H181" s="8">
        <f>F181*G181*E181</f>
        <v/>
      </c>
      <c r="I181" s="8">
        <f>SUM(H181:H181)</f>
        <v/>
      </c>
      <c r="J181" s="8">
        <f>$B$14-I181</f>
        <v/>
      </c>
      <c r="K181" s="8">
        <f>F181-J181</f>
        <v/>
      </c>
    </row>
    <row r="182">
      <c r="A182" t="n">
        <v>186</v>
      </c>
      <c r="B182" s="10">
        <f>MIN(DATE(YEAR($E$3),MONTH($E$3)+A182*$E$4,MIN($E$5,DAY(EOMONTH(DATE(YEAR($E$3),MONTH($E$3)+A182*$E$4,1),0)))),$B$6)</f>
        <v/>
      </c>
      <c r="C182" t="inlineStr">
        <is>
          <t>проценты, тело</t>
        </is>
      </c>
      <c r="D182">
        <f>B182-B181</f>
        <v/>
      </c>
      <c r="E182" s="11">
        <f>IF(YEAR(B181)=YEAR(B182),(B182-B181)/(DATE(YEAR(B181)+1,1,1)-DATE(YEAR(B181),1,1)),(DATE(YEAR(B181)+1,1,1)-B181)/(DATE(YEAR(B181)+1,1,1)-DATE(YEAR(B181),1,1))+(B182-DATE(YEAR(B182),1,1))/(DATE(YEAR(B182)+1,1,1)-DATE(YEAR(B182),1,1))+YEAR(B182)-YEAR(B181)-1)</f>
        <v/>
      </c>
      <c r="F182" s="8">
        <f>K181</f>
        <v/>
      </c>
      <c r="G182" s="7">
        <f>$B$10</f>
        <v/>
      </c>
      <c r="H182" s="8">
        <f>F182*G182*E182</f>
        <v/>
      </c>
      <c r="I182" s="8">
        <f>SUM(H182:H182)</f>
        <v/>
      </c>
      <c r="J182" s="8">
        <f>$B$14-I182</f>
        <v/>
      </c>
      <c r="K182" s="8">
        <f>F182-J182</f>
        <v/>
      </c>
    </row>
    <row r="183">
      <c r="A183" t="n">
        <v>187</v>
      </c>
      <c r="B183" s="10">
        <f>MIN(DATE(YEAR($E$3),MONTH($E$3)+A183*$E$4,MIN($E$5,DAY(EOMONTH(DATE(YEAR($E$3),MONTH($E$3)+A183*$E$4,1),0)))),$B$6)</f>
        <v/>
      </c>
      <c r="C183" t="inlineStr">
        <is>
          <t>проценты, тело</t>
        </is>
      </c>
      <c r="D183">
        <f>B183-B182</f>
        <v/>
      </c>
      <c r="E183" s="11">
        <f>IF(YEAR(B182)=YEAR(B183),(B183-B182)/(DATE(YEAR(B182)+1,1,1)-DATE(YEAR(B182),1,1)),(DATE(YEAR(B182)+1,1,1)-B182)/(DATE(YEAR(B182)+1,1,1)-DATE(YEAR(B182),1,1))+(B183-DATE(YEAR(B183),1,1))/(DATE(YEAR(B183)+1,1,1)-DATE(YEAR(B183),1,1))+YEAR(B183)-YEAR(B182)-1)</f>
        <v/>
      </c>
      <c r="F183" s="8">
        <f>K182</f>
        <v/>
      </c>
      <c r="G183" s="7">
        <f>$B$10</f>
        <v/>
      </c>
      <c r="H183" s="8">
        <f>F183*G183*E183</f>
        <v/>
      </c>
      <c r="I183" s="8">
        <f>SUM(H183:H183)</f>
        <v/>
      </c>
      <c r="J183" s="8">
        <f>$B$14-I183</f>
        <v/>
      </c>
      <c r="K183" s="8">
        <f>F183-J183</f>
        <v/>
      </c>
    </row>
    <row r="184">
      <c r="A184" t="n">
        <v>188</v>
      </c>
      <c r="B184" s="10">
        <f>MIN(DATE(YEAR($E$3),MONTH($E$3)+A184*$E$4,MIN($E$5,DAY(EOMONTH(DATE(YEAR($E$3),MONTH($E$3)+A184*$E$4,1),0)))),$B$6)</f>
        <v/>
      </c>
      <c r="C184" t="inlineStr">
        <is>
          <t>проценты, тело</t>
        </is>
      </c>
      <c r="D184">
        <f>B184-B183</f>
        <v/>
      </c>
      <c r="E184" s="11">
        <f>IF(YEAR(B183)=YEAR(B184),(B184-B183)/(DATE(YEAR(B183)+1,1,1)-DATE(YEAR(B183),1,1)),(DATE(YEAR(B183)+1,1,1)-B183)/(DATE(YEAR(B183)+1,1,1)-DATE(YEAR(B183),1,1))+(B184-DATE(YEAR(B184),1,1))/(DATE(YEAR(B184)+1,1,1)-DATE(YEAR(B184),1,1))+YEAR(B184)-YEAR(B183)-1)</f>
        <v/>
      </c>
      <c r="F184" s="8">
        <f>K183</f>
        <v/>
      </c>
      <c r="G184" s="7">
        <f>$B$10</f>
        <v/>
      </c>
      <c r="H184" s="8">
        <f>F184*G184*E184</f>
        <v/>
      </c>
      <c r="I184" s="8">
        <f>SUM(H184:H184)</f>
        <v/>
      </c>
      <c r="J184" s="8">
        <f>$B$14-I184</f>
        <v/>
      </c>
      <c r="K184" s="8">
        <f>F184-J184</f>
        <v/>
      </c>
    </row>
    <row r="185">
      <c r="A185" t="n">
        <v>189</v>
      </c>
      <c r="B185" s="10">
        <f>MIN(DATE(YEAR($E$3),MONTH($E$3)+A185*$E$4,MIN($E$5,DAY(EOMONTH(DATE(YEAR($E$3),MONTH($E$3)+A185*$E$4,1),0)))),$B$6)</f>
        <v/>
      </c>
      <c r="C185" t="inlineStr">
        <is>
          <t>проценты, тело</t>
        </is>
      </c>
      <c r="D185">
        <f>B185-B184</f>
        <v/>
      </c>
      <c r="E185" s="11">
        <f>IF(YEAR(B184)=YEAR(B185),(B185-B184)/(DATE(YEAR(B184)+1,1,1)-DATE(YEAR(B184),1,1)),(DATE(YEAR(B184)+1,1,1)-B184)/(DATE(YEAR(B184)+1,1,1)-DATE(YEAR(B184),1,1))+(B185-DATE(YEAR(B185),1,1))/(DATE(YEAR(B185)+1,1,1)-DATE(YEAR(B185),1,1))+YEAR(B185)-YEAR(B184)-1)</f>
        <v/>
      </c>
      <c r="F185" s="8">
        <f>K184</f>
        <v/>
      </c>
      <c r="G185" s="7">
        <f>$B$10</f>
        <v/>
      </c>
      <c r="H185" s="8">
        <f>F185*G185*E185</f>
        <v/>
      </c>
      <c r="I185" s="8">
        <f>SUM(H185:H185)</f>
        <v/>
      </c>
      <c r="J185" s="8">
        <f>$B$14-I185</f>
        <v/>
      </c>
      <c r="K185" s="8">
        <f>F185-J185</f>
        <v/>
      </c>
    </row>
    <row r="186">
      <c r="A186" t="n">
        <v>190</v>
      </c>
      <c r="B186" s="10">
        <f>MIN(DATE(YEAR($E$3),MONTH($E$3)+A186*$E$4,MIN($E$5,DAY(EOMONTH(DATE(YEAR($E$3),MONTH($E$3)+A186*$E$4,1),0)))),$B$6)</f>
        <v/>
      </c>
      <c r="C186" t="inlineStr">
        <is>
          <t>проценты, тело</t>
        </is>
      </c>
      <c r="D186">
        <f>B186-B185</f>
        <v/>
      </c>
      <c r="E186" s="11">
        <f>IF(YEAR(B185)=YEAR(B186),(B186-B185)/(DATE(YEAR(B185)+1,1,1)-DATE(YEAR(B185),1,1)),(DATE(YEAR(B185)+1,1,1)-B185)/(DATE(YEAR(B185)+1,1,1)-DATE(YEAR(B185),1,1))+(B186-DATE(YEAR(B186),1,1))/(DATE(YEAR(B186)+1,1,1)-DATE(YEAR(B186),1,1))+YEAR(B186)-YEAR(B185)-1)</f>
        <v/>
      </c>
      <c r="F186" s="8">
        <f>K185</f>
        <v/>
      </c>
      <c r="G186" s="7">
        <f>$B$10</f>
        <v/>
      </c>
      <c r="H186" s="8">
        <f>F186*G186*E186</f>
        <v/>
      </c>
      <c r="I186" s="8">
        <f>SUM(H186:H186)</f>
        <v/>
      </c>
      <c r="J186" s="8">
        <f>$B$14-I186</f>
        <v/>
      </c>
      <c r="K186" s="8">
        <f>F186-J186</f>
        <v/>
      </c>
    </row>
    <row r="187">
      <c r="A187" t="n">
        <v>191</v>
      </c>
      <c r="B187" s="10">
        <f>MIN(DATE(YEAR($E$3),MONTH($E$3)+A187*$E$4,MIN($E$5,DAY(EOMONTH(DATE(YEAR($E$3),MONTH($E$3)+A187*$E$4,1),0)))),$B$6)</f>
        <v/>
      </c>
      <c r="C187" t="inlineStr">
        <is>
          <t>проценты, тело</t>
        </is>
      </c>
      <c r="D187">
        <f>B187-B186</f>
        <v/>
      </c>
      <c r="E187" s="11">
        <f>IF(YEAR(B186)=YEAR(B187),(B187-B186)/(DATE(YEAR(B186)+1,1,1)-DATE(YEAR(B186),1,1)),(DATE(YEAR(B186)+1,1,1)-B186)/(DATE(YEAR(B186)+1,1,1)-DATE(YEAR(B186),1,1))+(B187-DATE(YEAR(B187),1,1))/(DATE(YEAR(B187)+1,1,1)-DATE(YEAR(B187),1,1))+YEAR(B187)-YEAR(B186)-1)</f>
        <v/>
      </c>
      <c r="F187" s="8">
        <f>K186</f>
        <v/>
      </c>
      <c r="G187" s="7">
        <f>$B$10</f>
        <v/>
      </c>
      <c r="H187" s="8">
        <f>F187*G187*E187</f>
        <v/>
      </c>
      <c r="I187" s="8">
        <f>SUM(H187:H187)</f>
        <v/>
      </c>
      <c r="J187" s="8">
        <f>$B$14-I187</f>
        <v/>
      </c>
      <c r="K187" s="8">
        <f>F187-J187</f>
        <v/>
      </c>
    </row>
    <row r="188">
      <c r="A188" t="n">
        <v>192</v>
      </c>
      <c r="B188" s="10">
        <f>MIN(DATE(YEAR($E$3),MONTH($E$3)+A188*$E$4,MIN($E$5,DAY(EOMONTH(DATE(YEAR($E$3),MONTH($E$3)+A188*$E$4,1),0)))),$B$6)</f>
        <v/>
      </c>
      <c r="C188" t="inlineStr">
        <is>
          <t>проценты, тело</t>
        </is>
      </c>
      <c r="D188">
        <f>B188-B187</f>
        <v/>
      </c>
      <c r="E188" s="11">
        <f>IF(YEAR(B187)=YEAR(B188),(B188-B187)/(DATE(YEAR(B187)+1,1,1)-DATE(YEAR(B187),1,1)),(DATE(YEAR(B187)+1,1,1)-B187)/(DATE(YEAR(B187)+1,1,1)-DATE(YEAR(B187),1,1))+(B188-DATE(YEAR(B188),1,1))/(DATE(YEAR(B188)+1,1,1)-DATE(YEAR(B188),1,1))+YEAR(B188)-YEAR(B187)-1)</f>
        <v/>
      </c>
      <c r="F188" s="8">
        <f>K187</f>
        <v/>
      </c>
      <c r="G188" s="7">
        <f>$B$10</f>
        <v/>
      </c>
      <c r="H188" s="8">
        <f>F188*G188*E188</f>
        <v/>
      </c>
      <c r="I188" s="8">
        <f>SUM(H188:H188)</f>
        <v/>
      </c>
      <c r="J188" s="8">
        <f>$B$14-I188</f>
        <v/>
      </c>
      <c r="K188" s="8">
        <f>F188-J188</f>
        <v/>
      </c>
    </row>
    <row r="189">
      <c r="A189" t="n">
        <v>193</v>
      </c>
      <c r="B189" s="10">
        <f>MIN(DATE(YEAR($E$3),MONTH($E$3)+A189*$E$4,MIN($E$5,DAY(EOMONTH(DATE(YEAR($E$3),MONTH($E$3)+A189*$E$4,1),0)))),$B$6)</f>
        <v/>
      </c>
      <c r="C189" t="inlineStr">
        <is>
          <t>проценты, тело</t>
        </is>
      </c>
      <c r="D189">
        <f>B189-B188</f>
        <v/>
      </c>
      <c r="E189" s="11">
        <f>IF(YEAR(B188)=YEAR(B189),(B189-B188)/(DATE(YEAR(B188)+1,1,1)-DATE(YEAR(B188),1,1)),(DATE(YEAR(B188)+1,1,1)-B188)/(DATE(YEAR(B188)+1,1,1)-DATE(YEAR(B188),1,1))+(B189-DATE(YEAR(B189),1,1))/(DATE(YEAR(B189)+1,1,1)-DATE(YEAR(B189),1,1))+YEAR(B189)-YEAR(B188)-1)</f>
        <v/>
      </c>
      <c r="F189" s="8">
        <f>K188</f>
        <v/>
      </c>
      <c r="G189" s="7">
        <f>$B$10</f>
        <v/>
      </c>
      <c r="H189" s="8">
        <f>F189*G189*E189</f>
        <v/>
      </c>
      <c r="I189" s="8">
        <f>SUM(H189:H189)</f>
        <v/>
      </c>
      <c r="J189" s="8">
        <f>$B$14-I189</f>
        <v/>
      </c>
      <c r="K189" s="8">
        <f>F189-J189</f>
        <v/>
      </c>
    </row>
    <row r="190">
      <c r="A190" t="n">
        <v>194</v>
      </c>
      <c r="B190" s="10">
        <f>MIN(DATE(YEAR($E$3),MONTH($E$3)+A190*$E$4,MIN($E$5,DAY(EOMONTH(DATE(YEAR($E$3),MONTH($E$3)+A190*$E$4,1),0)))),$B$6)</f>
        <v/>
      </c>
      <c r="C190" t="inlineStr">
        <is>
          <t>проценты, тело</t>
        </is>
      </c>
      <c r="D190">
        <f>B190-B189</f>
        <v/>
      </c>
      <c r="E190" s="11">
        <f>IF(YEAR(B189)=YEAR(B190),(B190-B189)/(DATE(YEAR(B189)+1,1,1)-DATE(YEAR(B189),1,1)),(DATE(YEAR(B189)+1,1,1)-B189)/(DATE(YEAR(B189)+1,1,1)-DATE(YEAR(B189),1,1))+(B190-DATE(YEAR(B190),1,1))/(DATE(YEAR(B190)+1,1,1)-DATE(YEAR(B190),1,1))+YEAR(B190)-YEAR(B189)-1)</f>
        <v/>
      </c>
      <c r="F190" s="8">
        <f>K189</f>
        <v/>
      </c>
      <c r="G190" s="7">
        <f>$B$10</f>
        <v/>
      </c>
      <c r="H190" s="8">
        <f>F190*G190*E190</f>
        <v/>
      </c>
      <c r="I190" s="8">
        <f>SUM(H190:H190)</f>
        <v/>
      </c>
      <c r="J190" s="8">
        <f>$B$14-I190</f>
        <v/>
      </c>
      <c r="K190" s="8">
        <f>F190-J190</f>
        <v/>
      </c>
    </row>
    <row r="191">
      <c r="A191" t="n">
        <v>195</v>
      </c>
      <c r="B191" s="10">
        <f>MIN(DATE(YEAR($E$3),MONTH($E$3)+A191*$E$4,MIN($E$5,DAY(EOMONTH(DATE(YEAR($E$3),MONTH($E$3)+A191*$E$4,1),0)))),$B$6)</f>
        <v/>
      </c>
      <c r="C191" t="inlineStr">
        <is>
          <t>проценты, тело</t>
        </is>
      </c>
      <c r="D191">
        <f>B191-B190</f>
        <v/>
      </c>
      <c r="E191" s="11">
        <f>IF(YEAR(B190)=YEAR(B191),(B191-B190)/(DATE(YEAR(B190)+1,1,1)-DATE(YEAR(B190),1,1)),(DATE(YEAR(B190)+1,1,1)-B190)/(DATE(YEAR(B190)+1,1,1)-DATE(YEAR(B190),1,1))+(B191-DATE(YEAR(B191),1,1))/(DATE(YEAR(B191)+1,1,1)-DATE(YEAR(B191),1,1))+YEAR(B191)-YEAR(B190)-1)</f>
        <v/>
      </c>
      <c r="F191" s="8">
        <f>K190</f>
        <v/>
      </c>
      <c r="G191" s="7">
        <f>$B$10</f>
        <v/>
      </c>
      <c r="H191" s="8">
        <f>F191*G191*E191</f>
        <v/>
      </c>
      <c r="I191" s="8">
        <f>SUM(H191:H191)</f>
        <v/>
      </c>
      <c r="J191" s="8">
        <f>$B$14-I191</f>
        <v/>
      </c>
      <c r="K191" s="8">
        <f>F191-J191</f>
        <v/>
      </c>
    </row>
    <row r="192">
      <c r="A192" t="n">
        <v>196</v>
      </c>
      <c r="B192" s="10">
        <f>MIN(DATE(YEAR($E$3),MONTH($E$3)+A192*$E$4,MIN($E$5,DAY(EOMONTH(DATE(YEAR($E$3),MONTH($E$3)+A192*$E$4,1),0)))),$B$6)</f>
        <v/>
      </c>
      <c r="C192" t="inlineStr">
        <is>
          <t>проценты, тело</t>
        </is>
      </c>
      <c r="D192">
        <f>B192-B191</f>
        <v/>
      </c>
      <c r="E192" s="11">
        <f>IF(YEAR(B191)=YEAR(B192),(B192-B191)/(DATE(YEAR(B191)+1,1,1)-DATE(YEAR(B191),1,1)),(DATE(YEAR(B191)+1,1,1)-B191)/(DATE(YEAR(B191)+1,1,1)-DATE(YEAR(B191),1,1))+(B192-DATE(YEAR(B192),1,1))/(DATE(YEAR(B192)+1,1,1)-DATE(YEAR(B192),1,1))+YEAR(B192)-YEAR(B191)-1)</f>
        <v/>
      </c>
      <c r="F192" s="8">
        <f>K191</f>
        <v/>
      </c>
      <c r="G192" s="7">
        <f>$B$10</f>
        <v/>
      </c>
      <c r="H192" s="8">
        <f>F192*G192*E192</f>
        <v/>
      </c>
      <c r="I192" s="8">
        <f>SUM(H192:H192)</f>
        <v/>
      </c>
      <c r="J192" s="8">
        <f>$B$14-I192</f>
        <v/>
      </c>
      <c r="K192" s="8">
        <f>F192-J192</f>
        <v/>
      </c>
    </row>
    <row r="193">
      <c r="A193" t="n">
        <v>197</v>
      </c>
      <c r="B193" s="10">
        <f>MIN(DATE(YEAR($E$3),MONTH($E$3)+A193*$E$4,MIN($E$5,DAY(EOMONTH(DATE(YEAR($E$3),MONTH($E$3)+A193*$E$4,1),0)))),$B$6)</f>
        <v/>
      </c>
      <c r="C193" t="inlineStr">
        <is>
          <t>проценты, тело</t>
        </is>
      </c>
      <c r="D193">
        <f>B193-B192</f>
        <v/>
      </c>
      <c r="E193" s="11">
        <f>IF(YEAR(B192)=YEAR(B193),(B193-B192)/(DATE(YEAR(B192)+1,1,1)-DATE(YEAR(B192),1,1)),(DATE(YEAR(B192)+1,1,1)-B192)/(DATE(YEAR(B192)+1,1,1)-DATE(YEAR(B192),1,1))+(B193-DATE(YEAR(B193),1,1))/(DATE(YEAR(B193)+1,1,1)-DATE(YEAR(B193),1,1))+YEAR(B193)-YEAR(B192)-1)</f>
        <v/>
      </c>
      <c r="F193" s="8">
        <f>K192</f>
        <v/>
      </c>
      <c r="G193" s="7">
        <f>$B$10</f>
        <v/>
      </c>
      <c r="H193" s="8">
        <f>F193*G193*E193</f>
        <v/>
      </c>
      <c r="I193" s="8">
        <f>SUM(H193:H193)</f>
        <v/>
      </c>
      <c r="J193" s="8">
        <f>$B$14-I193</f>
        <v/>
      </c>
      <c r="K193" s="8">
        <f>F193-J193</f>
        <v/>
      </c>
    </row>
    <row r="194">
      <c r="A194" t="n">
        <v>198</v>
      </c>
      <c r="B194" s="10">
        <f>MIN(DATE(YEAR($E$3),MONTH($E$3)+A194*$E$4,MIN($E$5,DAY(EOMONTH(DATE(YEAR($E$3),MONTH($E$3)+A194*$E$4,1),0)))),$B$6)</f>
        <v/>
      </c>
      <c r="C194" t="inlineStr">
        <is>
          <t>проценты, тело</t>
        </is>
      </c>
      <c r="D194">
        <f>B194-B193</f>
        <v/>
      </c>
      <c r="E194" s="11">
        <f>IF(YEAR(B193)=YEAR(B194),(B194-B193)/(DATE(YEAR(B193)+1,1,1)-DATE(YEAR(B193),1,1)),(DATE(YEAR(B193)+1,1,1)-B193)/(DATE(YEAR(B193)+1,1,1)-DATE(YEAR(B193),1,1))+(B194-DATE(YEAR(B194),1,1))/(DATE(YEAR(B194)+1,1,1)-DATE(YEAR(B194),1,1))+YEAR(B194)-YEAR(B193)-1)</f>
        <v/>
      </c>
      <c r="F194" s="8">
        <f>K193</f>
        <v/>
      </c>
      <c r="G194" s="7">
        <f>$B$10</f>
        <v/>
      </c>
      <c r="H194" s="8">
        <f>F194*G194*E194</f>
        <v/>
      </c>
      <c r="I194" s="8">
        <f>SUM(H194:H194)</f>
        <v/>
      </c>
      <c r="J194" s="8">
        <f>$B$14-I194</f>
        <v/>
      </c>
      <c r="K194" s="8">
        <f>F194-J194</f>
        <v/>
      </c>
    </row>
    <row r="195">
      <c r="A195" t="n">
        <v>199</v>
      </c>
      <c r="B195" s="10">
        <f>MIN(DATE(YEAR($E$3),MONTH($E$3)+A195*$E$4,MIN($E$5,DAY(EOMONTH(DATE(YEAR($E$3),MONTH($E$3)+A195*$E$4,1),0)))),$B$6)</f>
        <v/>
      </c>
      <c r="C195" t="inlineStr">
        <is>
          <t>проценты, тело</t>
        </is>
      </c>
      <c r="D195">
        <f>B195-B194</f>
        <v/>
      </c>
      <c r="E195" s="11">
        <f>IF(YEAR(B194)=YEAR(B195),(B195-B194)/(DATE(YEAR(B194)+1,1,1)-DATE(YEAR(B194),1,1)),(DATE(YEAR(B194)+1,1,1)-B194)/(DATE(YEAR(B194)+1,1,1)-DATE(YEAR(B194),1,1))+(B195-DATE(YEAR(B195),1,1))/(DATE(YEAR(B195)+1,1,1)-DATE(YEAR(B195),1,1))+YEAR(B195)-YEAR(B194)-1)</f>
        <v/>
      </c>
      <c r="F195" s="8">
        <f>K194</f>
        <v/>
      </c>
      <c r="G195" s="7">
        <f>$B$10</f>
        <v/>
      </c>
      <c r="H195" s="8">
        <f>F195*G195*E195</f>
        <v/>
      </c>
      <c r="I195" s="8">
        <f>SUM(H195:H195)</f>
        <v/>
      </c>
      <c r="J195" s="8">
        <f>$B$14-I195</f>
        <v/>
      </c>
      <c r="K195" s="8">
        <f>F195-J195</f>
        <v/>
      </c>
    </row>
    <row r="196">
      <c r="A196" t="n">
        <v>200</v>
      </c>
      <c r="B196" s="10">
        <f>MIN(DATE(YEAR($E$3),MONTH($E$3)+A196*$E$4,MIN($E$5,DAY(EOMONTH(DATE(YEAR($E$3),MONTH($E$3)+A196*$E$4,1),0)))),$B$6)</f>
        <v/>
      </c>
      <c r="C196" t="inlineStr">
        <is>
          <t>проценты, тело</t>
        </is>
      </c>
      <c r="D196">
        <f>B196-B195</f>
        <v/>
      </c>
      <c r="E196" s="11">
        <f>IF(YEAR(B195)=YEAR(B196),(B196-B195)/(DATE(YEAR(B195)+1,1,1)-DATE(YEAR(B195),1,1)),(DATE(YEAR(B195)+1,1,1)-B195)/(DATE(YEAR(B195)+1,1,1)-DATE(YEAR(B195),1,1))+(B196-DATE(YEAR(B196),1,1))/(DATE(YEAR(B196)+1,1,1)-DATE(YEAR(B196),1,1))+YEAR(B196)-YEAR(B195)-1)</f>
        <v/>
      </c>
      <c r="F196" s="8">
        <f>K195</f>
        <v/>
      </c>
      <c r="G196" s="7">
        <f>$B$10</f>
        <v/>
      </c>
      <c r="H196" s="8">
        <f>F196*G196*E196</f>
        <v/>
      </c>
      <c r="I196" s="8">
        <f>SUM(H196:H196)</f>
        <v/>
      </c>
      <c r="J196" s="8">
        <f>$B$14-I196</f>
        <v/>
      </c>
      <c r="K196" s="8">
        <f>F196-J196</f>
        <v/>
      </c>
    </row>
    <row r="197">
      <c r="A197" t="n">
        <v>201</v>
      </c>
      <c r="B197" s="10">
        <f>MIN(DATE(YEAR($E$3),MONTH($E$3)+A197*$E$4,MIN($E$5,DAY(EOMONTH(DATE(YEAR($E$3),MONTH($E$3)+A197*$E$4,1),0)))),$B$6)</f>
        <v/>
      </c>
      <c r="C197" t="inlineStr">
        <is>
          <t>проценты, тело</t>
        </is>
      </c>
      <c r="D197">
        <f>B197-B196</f>
        <v/>
      </c>
      <c r="E197" s="11">
        <f>IF(YEAR(B196)=YEAR(B197),(B197-B196)/(DATE(YEAR(B196)+1,1,1)-DATE(YEAR(B196),1,1)),(DATE(YEAR(B196)+1,1,1)-B196)/(DATE(YEAR(B196)+1,1,1)-DATE(YEAR(B196),1,1))+(B197-DATE(YEAR(B197),1,1))/(DATE(YEAR(B197)+1,1,1)-DATE(YEAR(B197),1,1))+YEAR(B197)-YEAR(B196)-1)</f>
        <v/>
      </c>
      <c r="F197" s="8">
        <f>K196</f>
        <v/>
      </c>
      <c r="G197" s="7">
        <f>$B$10</f>
        <v/>
      </c>
      <c r="H197" s="8">
        <f>F197*G197*E197</f>
        <v/>
      </c>
      <c r="I197" s="8">
        <f>SUM(H197:H197)</f>
        <v/>
      </c>
      <c r="J197" s="8">
        <f>$B$14-I197</f>
        <v/>
      </c>
      <c r="K197" s="8">
        <f>F197-J197</f>
        <v/>
      </c>
    </row>
    <row r="198">
      <c r="A198" t="n">
        <v>202</v>
      </c>
      <c r="B198" s="10">
        <f>MIN(DATE(YEAR($E$3),MONTH($E$3)+A198*$E$4,MIN($E$5,DAY(EOMONTH(DATE(YEAR($E$3),MONTH($E$3)+A198*$E$4,1),0)))),$B$6)</f>
        <v/>
      </c>
      <c r="C198" t="inlineStr">
        <is>
          <t>проценты, тело</t>
        </is>
      </c>
      <c r="D198">
        <f>B198-B197</f>
        <v/>
      </c>
      <c r="E198" s="11">
        <f>IF(YEAR(B197)=YEAR(B198),(B198-B197)/(DATE(YEAR(B197)+1,1,1)-DATE(YEAR(B197),1,1)),(DATE(YEAR(B197)+1,1,1)-B197)/(DATE(YEAR(B197)+1,1,1)-DATE(YEAR(B197),1,1))+(B198-DATE(YEAR(B198),1,1))/(DATE(YEAR(B198)+1,1,1)-DATE(YEAR(B198),1,1))+YEAR(B198)-YEAR(B197)-1)</f>
        <v/>
      </c>
      <c r="F198" s="8">
        <f>K197</f>
        <v/>
      </c>
      <c r="G198" s="7">
        <f>$B$10</f>
        <v/>
      </c>
      <c r="H198" s="8">
        <f>F198*G198*E198</f>
        <v/>
      </c>
      <c r="I198" s="8">
        <f>SUM(H198:H198)</f>
        <v/>
      </c>
      <c r="J198" s="8">
        <f>$B$14-I198</f>
        <v/>
      </c>
      <c r="K198" s="8">
        <f>F198-J198</f>
        <v/>
      </c>
    </row>
    <row r="199">
      <c r="A199" t="n">
        <v>203</v>
      </c>
      <c r="B199" s="10">
        <f>MIN(DATE(YEAR($E$3),MONTH($E$3)+A199*$E$4,MIN($E$5,DAY(EOMONTH(DATE(YEAR($E$3),MONTH($E$3)+A199*$E$4,1),0)))),$B$6)</f>
        <v/>
      </c>
      <c r="C199" t="inlineStr">
        <is>
          <t>проценты, тело</t>
        </is>
      </c>
      <c r="D199">
        <f>B199-B198</f>
        <v/>
      </c>
      <c r="E199" s="11">
        <f>IF(YEAR(B198)=YEAR(B199),(B199-B198)/(DATE(YEAR(B198)+1,1,1)-DATE(YEAR(B198),1,1)),(DATE(YEAR(B198)+1,1,1)-B198)/(DATE(YEAR(B198)+1,1,1)-DATE(YEAR(B198),1,1))+(B199-DATE(YEAR(B199),1,1))/(DATE(YEAR(B199)+1,1,1)-DATE(YEAR(B199),1,1))+YEAR(B199)-YEAR(B198)-1)</f>
        <v/>
      </c>
      <c r="F199" s="8">
        <f>K198</f>
        <v/>
      </c>
      <c r="G199" s="7">
        <f>$B$10</f>
        <v/>
      </c>
      <c r="H199" s="8">
        <f>F199*G199*E199</f>
        <v/>
      </c>
      <c r="I199" s="8">
        <f>SUM(H199:H199)</f>
        <v/>
      </c>
      <c r="J199" s="8">
        <f>$B$14-I199</f>
        <v/>
      </c>
      <c r="K199" s="8">
        <f>F199-J199</f>
        <v/>
      </c>
    </row>
    <row r="200">
      <c r="A200" t="n">
        <v>204</v>
      </c>
      <c r="B200" s="10">
        <f>MIN(DATE(YEAR($E$3),MONTH($E$3)+A200*$E$4,MIN($E$5,DAY(EOMONTH(DATE(YEAR($E$3),MONTH($E$3)+A200*$E$4,1),0)))),$B$6)</f>
        <v/>
      </c>
      <c r="C200" t="inlineStr">
        <is>
          <t>проценты, тело</t>
        </is>
      </c>
      <c r="D200">
        <f>B200-B199</f>
        <v/>
      </c>
      <c r="E200" s="11">
        <f>IF(YEAR(B199)=YEAR(B200),(B200-B199)/(DATE(YEAR(B199)+1,1,1)-DATE(YEAR(B199),1,1)),(DATE(YEAR(B199)+1,1,1)-B199)/(DATE(YEAR(B199)+1,1,1)-DATE(YEAR(B199),1,1))+(B200-DATE(YEAR(B200),1,1))/(DATE(YEAR(B200)+1,1,1)-DATE(YEAR(B200),1,1))+YEAR(B200)-YEAR(B199)-1)</f>
        <v/>
      </c>
      <c r="F200" s="8">
        <f>K199</f>
        <v/>
      </c>
      <c r="G200" s="7">
        <f>$B$10</f>
        <v/>
      </c>
      <c r="H200" s="8">
        <f>F200*G200*E200</f>
        <v/>
      </c>
      <c r="I200" s="8">
        <f>SUM(H200:H200)</f>
        <v/>
      </c>
      <c r="J200" s="8">
        <f>$B$14-I200</f>
        <v/>
      </c>
      <c r="K200" s="8">
        <f>F200-J200</f>
        <v/>
      </c>
    </row>
    <row r="201">
      <c r="A201" t="n">
        <v>205</v>
      </c>
      <c r="B201" s="10">
        <f>MIN(DATE(YEAR($E$3),MONTH($E$3)+A201*$E$4,MIN($E$5,DAY(EOMONTH(DATE(YEAR($E$3),MONTH($E$3)+A201*$E$4,1),0)))),$B$6)</f>
        <v/>
      </c>
      <c r="C201" t="inlineStr">
        <is>
          <t>проценты, тело</t>
        </is>
      </c>
      <c r="D201">
        <f>B201-B200</f>
        <v/>
      </c>
      <c r="E201" s="11">
        <f>IF(YEAR(B200)=YEAR(B201),(B201-B200)/(DATE(YEAR(B200)+1,1,1)-DATE(YEAR(B200),1,1)),(DATE(YEAR(B200)+1,1,1)-B200)/(DATE(YEAR(B200)+1,1,1)-DATE(YEAR(B200),1,1))+(B201-DATE(YEAR(B201),1,1))/(DATE(YEAR(B201)+1,1,1)-DATE(YEAR(B201),1,1))+YEAR(B201)-YEAR(B200)-1)</f>
        <v/>
      </c>
      <c r="F201" s="8">
        <f>K200</f>
        <v/>
      </c>
      <c r="G201" s="7">
        <f>$B$10</f>
        <v/>
      </c>
      <c r="H201" s="8">
        <f>F201*G201*E201</f>
        <v/>
      </c>
      <c r="I201" s="8">
        <f>SUM(H201:H201)</f>
        <v/>
      </c>
      <c r="J201" s="8">
        <f>$B$14-I201</f>
        <v/>
      </c>
      <c r="K201" s="8">
        <f>F201-J201</f>
        <v/>
      </c>
    </row>
    <row r="202">
      <c r="A202" t="n">
        <v>206</v>
      </c>
      <c r="B202" s="10">
        <f>MIN(DATE(YEAR($E$3),MONTH($E$3)+A202*$E$4,MIN($E$5,DAY(EOMONTH(DATE(YEAR($E$3),MONTH($E$3)+A202*$E$4,1),0)))),$B$6)</f>
        <v/>
      </c>
      <c r="C202" t="inlineStr">
        <is>
          <t>проценты, тело</t>
        </is>
      </c>
      <c r="D202">
        <f>B202-B201</f>
        <v/>
      </c>
      <c r="E202" s="11">
        <f>IF(YEAR(B201)=YEAR(B202),(B202-B201)/(DATE(YEAR(B201)+1,1,1)-DATE(YEAR(B201),1,1)),(DATE(YEAR(B201)+1,1,1)-B201)/(DATE(YEAR(B201)+1,1,1)-DATE(YEAR(B201),1,1))+(B202-DATE(YEAR(B202),1,1))/(DATE(YEAR(B202)+1,1,1)-DATE(YEAR(B202),1,1))+YEAR(B202)-YEAR(B201)-1)</f>
        <v/>
      </c>
      <c r="F202" s="8">
        <f>K201</f>
        <v/>
      </c>
      <c r="G202" s="7">
        <f>$B$10</f>
        <v/>
      </c>
      <c r="H202" s="8">
        <f>F202*G202*E202</f>
        <v/>
      </c>
      <c r="I202" s="8">
        <f>SUM(H202:H202)</f>
        <v/>
      </c>
      <c r="J202" s="8">
        <f>$B$14-I202</f>
        <v/>
      </c>
      <c r="K202" s="8">
        <f>F202-J202</f>
        <v/>
      </c>
    </row>
    <row r="203">
      <c r="A203" t="n">
        <v>207</v>
      </c>
      <c r="B203" s="10">
        <f>MIN(DATE(YEAR($E$3),MONTH($E$3)+A203*$E$4,MIN($E$5,DAY(EOMONTH(DATE(YEAR($E$3),MONTH($E$3)+A203*$E$4,1),0)))),$B$6)</f>
        <v/>
      </c>
      <c r="C203" t="inlineStr">
        <is>
          <t>проценты, тело</t>
        </is>
      </c>
      <c r="D203">
        <f>B203-B202</f>
        <v/>
      </c>
      <c r="E203" s="11">
        <f>IF(YEAR(B202)=YEAR(B203),(B203-B202)/(DATE(YEAR(B202)+1,1,1)-DATE(YEAR(B202),1,1)),(DATE(YEAR(B202)+1,1,1)-B202)/(DATE(YEAR(B202)+1,1,1)-DATE(YEAR(B202),1,1))+(B203-DATE(YEAR(B203),1,1))/(DATE(YEAR(B203)+1,1,1)-DATE(YEAR(B203),1,1))+YEAR(B203)-YEAR(B202)-1)</f>
        <v/>
      </c>
      <c r="F203" s="8">
        <f>K202</f>
        <v/>
      </c>
      <c r="G203" s="7">
        <f>$B$10</f>
        <v/>
      </c>
      <c r="H203" s="8">
        <f>F203*G203*E203</f>
        <v/>
      </c>
      <c r="I203" s="8">
        <f>SUM(H203:H203)</f>
        <v/>
      </c>
      <c r="J203" s="8">
        <f>$B$14-I203</f>
        <v/>
      </c>
      <c r="K203" s="8">
        <f>F203-J203</f>
        <v/>
      </c>
    </row>
    <row r="204">
      <c r="A204" t="n">
        <v>208</v>
      </c>
      <c r="B204" s="10">
        <f>MIN(DATE(YEAR($E$3),MONTH($E$3)+A204*$E$4,MIN($E$5,DAY(EOMONTH(DATE(YEAR($E$3),MONTH($E$3)+A204*$E$4,1),0)))),$B$6)</f>
        <v/>
      </c>
      <c r="C204" t="inlineStr">
        <is>
          <t>проценты, тело</t>
        </is>
      </c>
      <c r="D204">
        <f>B204-B203</f>
        <v/>
      </c>
      <c r="E204" s="11">
        <f>IF(YEAR(B203)=YEAR(B204),(B204-B203)/(DATE(YEAR(B203)+1,1,1)-DATE(YEAR(B203),1,1)),(DATE(YEAR(B203)+1,1,1)-B203)/(DATE(YEAR(B203)+1,1,1)-DATE(YEAR(B203),1,1))+(B204-DATE(YEAR(B204),1,1))/(DATE(YEAR(B204)+1,1,1)-DATE(YEAR(B204),1,1))+YEAR(B204)-YEAR(B203)-1)</f>
        <v/>
      </c>
      <c r="F204" s="8">
        <f>K203</f>
        <v/>
      </c>
      <c r="G204" s="7">
        <f>$B$10</f>
        <v/>
      </c>
      <c r="H204" s="8">
        <f>F204*G204*E204</f>
        <v/>
      </c>
      <c r="I204" s="8">
        <f>SUM(H204:H204)</f>
        <v/>
      </c>
      <c r="J204" s="8">
        <f>$B$14-I204</f>
        <v/>
      </c>
      <c r="K204" s="8">
        <f>F204-J204</f>
        <v/>
      </c>
    </row>
    <row r="205">
      <c r="A205" t="n">
        <v>209</v>
      </c>
      <c r="B205" s="10">
        <f>MIN(DATE(YEAR($E$3),MONTH($E$3)+A205*$E$4,MIN($E$5,DAY(EOMONTH(DATE(YEAR($E$3),MONTH($E$3)+A205*$E$4,1),0)))),$B$6)</f>
        <v/>
      </c>
      <c r="C205" t="inlineStr">
        <is>
          <t>проценты, тело</t>
        </is>
      </c>
      <c r="D205">
        <f>B205-B204</f>
        <v/>
      </c>
      <c r="E205" s="11">
        <f>IF(YEAR(B204)=YEAR(B205),(B205-B204)/(DATE(YEAR(B204)+1,1,1)-DATE(YEAR(B204),1,1)),(DATE(YEAR(B204)+1,1,1)-B204)/(DATE(YEAR(B204)+1,1,1)-DATE(YEAR(B204),1,1))+(B205-DATE(YEAR(B205),1,1))/(DATE(YEAR(B205)+1,1,1)-DATE(YEAR(B205),1,1))+YEAR(B205)-YEAR(B204)-1)</f>
        <v/>
      </c>
      <c r="F205" s="8">
        <f>K204</f>
        <v/>
      </c>
      <c r="G205" s="7">
        <f>$B$10</f>
        <v/>
      </c>
      <c r="H205" s="8">
        <f>F205*G205*E205</f>
        <v/>
      </c>
      <c r="I205" s="8">
        <f>SUM(H205:H205)</f>
        <v/>
      </c>
      <c r="J205" s="8">
        <f>$B$14-I205</f>
        <v/>
      </c>
      <c r="K205" s="8">
        <f>F205-J205</f>
        <v/>
      </c>
    </row>
    <row r="206">
      <c r="A206" t="n">
        <v>210</v>
      </c>
      <c r="B206" s="10">
        <f>MIN(DATE(YEAR($E$3),MONTH($E$3)+A206*$E$4,MIN($E$5,DAY(EOMONTH(DATE(YEAR($E$3),MONTH($E$3)+A206*$E$4,1),0)))),$B$6)</f>
        <v/>
      </c>
      <c r="C206" t="inlineStr">
        <is>
          <t>проценты, тело</t>
        </is>
      </c>
      <c r="D206">
        <f>B206-B205</f>
        <v/>
      </c>
      <c r="E206" s="11">
        <f>IF(YEAR(B205)=YEAR(B206),(B206-B205)/(DATE(YEAR(B205)+1,1,1)-DATE(YEAR(B205),1,1)),(DATE(YEAR(B205)+1,1,1)-B205)/(DATE(YEAR(B205)+1,1,1)-DATE(YEAR(B205),1,1))+(B206-DATE(YEAR(B206),1,1))/(DATE(YEAR(B206)+1,1,1)-DATE(YEAR(B206),1,1))+YEAR(B206)-YEAR(B205)-1)</f>
        <v/>
      </c>
      <c r="F206" s="8">
        <f>K205</f>
        <v/>
      </c>
      <c r="G206" s="7">
        <f>$B$10</f>
        <v/>
      </c>
      <c r="H206" s="8">
        <f>F206*G206*E206</f>
        <v/>
      </c>
      <c r="I206" s="8">
        <f>SUM(H206:H206)</f>
        <v/>
      </c>
      <c r="J206" s="8">
        <f>$B$14-I206</f>
        <v/>
      </c>
      <c r="K206" s="8">
        <f>F206-J206</f>
        <v/>
      </c>
    </row>
    <row r="207">
      <c r="A207" t="n">
        <v>211</v>
      </c>
      <c r="B207" s="10">
        <f>MIN(DATE(YEAR($E$3),MONTH($E$3)+A207*$E$4,MIN($E$5,DAY(EOMONTH(DATE(YEAR($E$3),MONTH($E$3)+A207*$E$4,1),0)))),$B$6)</f>
        <v/>
      </c>
      <c r="C207" t="inlineStr">
        <is>
          <t>проценты, тело</t>
        </is>
      </c>
      <c r="D207">
        <f>B207-B206</f>
        <v/>
      </c>
      <c r="E207" s="11">
        <f>IF(YEAR(B206)=YEAR(B207),(B207-B206)/(DATE(YEAR(B206)+1,1,1)-DATE(YEAR(B206),1,1)),(DATE(YEAR(B206)+1,1,1)-B206)/(DATE(YEAR(B206)+1,1,1)-DATE(YEAR(B206),1,1))+(B207-DATE(YEAR(B207),1,1))/(DATE(YEAR(B207)+1,1,1)-DATE(YEAR(B207),1,1))+YEAR(B207)-YEAR(B206)-1)</f>
        <v/>
      </c>
      <c r="F207" s="8">
        <f>K206</f>
        <v/>
      </c>
      <c r="G207" s="7">
        <f>$B$10</f>
        <v/>
      </c>
      <c r="H207" s="8">
        <f>F207*G207*E207</f>
        <v/>
      </c>
      <c r="I207" s="8">
        <f>SUM(H207:H207)</f>
        <v/>
      </c>
      <c r="J207" s="8">
        <f>$B$14-I207</f>
        <v/>
      </c>
      <c r="K207" s="8">
        <f>F207-J207</f>
        <v/>
      </c>
    </row>
    <row r="208">
      <c r="A208" t="n">
        <v>212</v>
      </c>
      <c r="B208" s="10">
        <f>MIN(DATE(YEAR($E$3),MONTH($E$3)+A208*$E$4,MIN($E$5,DAY(EOMONTH(DATE(YEAR($E$3),MONTH($E$3)+A208*$E$4,1),0)))),$B$6)</f>
        <v/>
      </c>
      <c r="C208" t="inlineStr">
        <is>
          <t>проценты, тело</t>
        </is>
      </c>
      <c r="D208">
        <f>B208-B207</f>
        <v/>
      </c>
      <c r="E208" s="11">
        <f>IF(YEAR(B207)=YEAR(B208),(B208-B207)/(DATE(YEAR(B207)+1,1,1)-DATE(YEAR(B207),1,1)),(DATE(YEAR(B207)+1,1,1)-B207)/(DATE(YEAR(B207)+1,1,1)-DATE(YEAR(B207),1,1))+(B208-DATE(YEAR(B208),1,1))/(DATE(YEAR(B208)+1,1,1)-DATE(YEAR(B208),1,1))+YEAR(B208)-YEAR(B207)-1)</f>
        <v/>
      </c>
      <c r="F208" s="8">
        <f>K207</f>
        <v/>
      </c>
      <c r="G208" s="7">
        <f>$B$10</f>
        <v/>
      </c>
      <c r="H208" s="8">
        <f>F208*G208*E208</f>
        <v/>
      </c>
      <c r="I208" s="8">
        <f>SUM(H208:H208)</f>
        <v/>
      </c>
      <c r="J208" s="8">
        <f>$B$14-I208</f>
        <v/>
      </c>
      <c r="K208" s="8">
        <f>F208-J208</f>
        <v/>
      </c>
    </row>
    <row r="209">
      <c r="A209" t="n">
        <v>213</v>
      </c>
      <c r="B209" s="10">
        <f>MIN(DATE(YEAR($E$3),MONTH($E$3)+A209*$E$4,MIN($E$5,DAY(EOMONTH(DATE(YEAR($E$3),MONTH($E$3)+A209*$E$4,1),0)))),$B$6)</f>
        <v/>
      </c>
      <c r="C209" t="inlineStr">
        <is>
          <t>проценты, тело</t>
        </is>
      </c>
      <c r="D209">
        <f>B209-B208</f>
        <v/>
      </c>
      <c r="E209" s="11">
        <f>IF(YEAR(B208)=YEAR(B209),(B209-B208)/(DATE(YEAR(B208)+1,1,1)-DATE(YEAR(B208),1,1)),(DATE(YEAR(B208)+1,1,1)-B208)/(DATE(YEAR(B208)+1,1,1)-DATE(YEAR(B208),1,1))+(B209-DATE(YEAR(B209),1,1))/(DATE(YEAR(B209)+1,1,1)-DATE(YEAR(B209),1,1))+YEAR(B209)-YEAR(B208)-1)</f>
        <v/>
      </c>
      <c r="F209" s="8">
        <f>K208</f>
        <v/>
      </c>
      <c r="G209" s="7">
        <f>$B$10</f>
        <v/>
      </c>
      <c r="H209" s="8">
        <f>F209*G209*E209</f>
        <v/>
      </c>
      <c r="I209" s="8">
        <f>SUM(H209:H209)</f>
        <v/>
      </c>
      <c r="J209" s="8">
        <f>$B$14-I209</f>
        <v/>
      </c>
      <c r="K209" s="8">
        <f>F209-J209</f>
        <v/>
      </c>
    </row>
    <row r="210">
      <c r="A210" t="n">
        <v>214</v>
      </c>
      <c r="B210" s="10">
        <f>MIN(DATE(YEAR($E$3),MONTH($E$3)+A210*$E$4,MIN($E$5,DAY(EOMONTH(DATE(YEAR($E$3),MONTH($E$3)+A210*$E$4,1),0)))),$B$6)</f>
        <v/>
      </c>
      <c r="C210" t="inlineStr">
        <is>
          <t>проценты, тело</t>
        </is>
      </c>
      <c r="D210">
        <f>B210-B209</f>
        <v/>
      </c>
      <c r="E210" s="11">
        <f>IF(YEAR(B209)=YEAR(B210),(B210-B209)/(DATE(YEAR(B209)+1,1,1)-DATE(YEAR(B209),1,1)),(DATE(YEAR(B209)+1,1,1)-B209)/(DATE(YEAR(B209)+1,1,1)-DATE(YEAR(B209),1,1))+(B210-DATE(YEAR(B210),1,1))/(DATE(YEAR(B210)+1,1,1)-DATE(YEAR(B210),1,1))+YEAR(B210)-YEAR(B209)-1)</f>
        <v/>
      </c>
      <c r="F210" s="8">
        <f>K209</f>
        <v/>
      </c>
      <c r="G210" s="7">
        <f>$B$10</f>
        <v/>
      </c>
      <c r="H210" s="8">
        <f>F210*G210*E210</f>
        <v/>
      </c>
      <c r="I210" s="8">
        <f>SUM(H210:H210)</f>
        <v/>
      </c>
      <c r="J210" s="8">
        <f>$B$14-I210</f>
        <v/>
      </c>
      <c r="K210" s="8">
        <f>F210-J210</f>
        <v/>
      </c>
    </row>
    <row r="211">
      <c r="A211" t="n">
        <v>215</v>
      </c>
      <c r="B211" s="10">
        <f>MIN(DATE(YEAR($E$3),MONTH($E$3)+A211*$E$4,MIN($E$5,DAY(EOMONTH(DATE(YEAR($E$3),MONTH($E$3)+A211*$E$4,1),0)))),$B$6)</f>
        <v/>
      </c>
      <c r="C211" t="inlineStr">
        <is>
          <t>проценты, тело</t>
        </is>
      </c>
      <c r="D211">
        <f>B211-B210</f>
        <v/>
      </c>
      <c r="E211" s="11">
        <f>IF(YEAR(B210)=YEAR(B211),(B211-B210)/(DATE(YEAR(B210)+1,1,1)-DATE(YEAR(B210),1,1)),(DATE(YEAR(B210)+1,1,1)-B210)/(DATE(YEAR(B210)+1,1,1)-DATE(YEAR(B210),1,1))+(B211-DATE(YEAR(B211),1,1))/(DATE(YEAR(B211)+1,1,1)-DATE(YEAR(B211),1,1))+YEAR(B211)-YEAR(B210)-1)</f>
        <v/>
      </c>
      <c r="F211" s="8">
        <f>K210</f>
        <v/>
      </c>
      <c r="G211" s="7">
        <f>$B$10</f>
        <v/>
      </c>
      <c r="H211" s="8">
        <f>F211*G211*E211</f>
        <v/>
      </c>
      <c r="I211" s="8">
        <f>SUM(H211:H211)</f>
        <v/>
      </c>
      <c r="J211" s="8">
        <f>$B$14-I211</f>
        <v/>
      </c>
      <c r="K211" s="8">
        <f>F211-J211</f>
        <v/>
      </c>
    </row>
    <row r="212">
      <c r="A212" t="n">
        <v>216</v>
      </c>
      <c r="B212" s="10">
        <f>MIN(DATE(YEAR($E$3),MONTH($E$3)+A212*$E$4,MIN($E$5,DAY(EOMONTH(DATE(YEAR($E$3),MONTH($E$3)+A212*$E$4,1),0)))),$B$6)</f>
        <v/>
      </c>
      <c r="C212" t="inlineStr">
        <is>
          <t>проценты, тело</t>
        </is>
      </c>
      <c r="D212">
        <f>B212-B211</f>
        <v/>
      </c>
      <c r="E212" s="11">
        <f>IF(YEAR(B211)=YEAR(B212),(B212-B211)/(DATE(YEAR(B211)+1,1,1)-DATE(YEAR(B211),1,1)),(DATE(YEAR(B211)+1,1,1)-B211)/(DATE(YEAR(B211)+1,1,1)-DATE(YEAR(B211),1,1))+(B212-DATE(YEAR(B212),1,1))/(DATE(YEAR(B212)+1,1,1)-DATE(YEAR(B212),1,1))+YEAR(B212)-YEAR(B211)-1)</f>
        <v/>
      </c>
      <c r="F212" s="8">
        <f>K211</f>
        <v/>
      </c>
      <c r="G212" s="7">
        <f>$B$10</f>
        <v/>
      </c>
      <c r="H212" s="8">
        <f>F212*G212*E212</f>
        <v/>
      </c>
      <c r="I212" s="8">
        <f>SUM(H212:H212)</f>
        <v/>
      </c>
      <c r="J212" s="8">
        <f>$B$14-I212</f>
        <v/>
      </c>
      <c r="K212" s="8">
        <f>F212-J212</f>
        <v/>
      </c>
    </row>
    <row r="213">
      <c r="A213" t="n">
        <v>217</v>
      </c>
      <c r="B213" s="10">
        <f>MIN(DATE(YEAR($E$3),MONTH($E$3)+A213*$E$4,MIN($E$5,DAY(EOMONTH(DATE(YEAR($E$3),MONTH($E$3)+A213*$E$4,1),0)))),$B$6)</f>
        <v/>
      </c>
      <c r="C213" t="inlineStr">
        <is>
          <t>проценты, тело</t>
        </is>
      </c>
      <c r="D213">
        <f>B213-B212</f>
        <v/>
      </c>
      <c r="E213" s="11">
        <f>IF(YEAR(B212)=YEAR(B213),(B213-B212)/(DATE(YEAR(B212)+1,1,1)-DATE(YEAR(B212),1,1)),(DATE(YEAR(B212)+1,1,1)-B212)/(DATE(YEAR(B212)+1,1,1)-DATE(YEAR(B212),1,1))+(B213-DATE(YEAR(B213),1,1))/(DATE(YEAR(B213)+1,1,1)-DATE(YEAR(B213),1,1))+YEAR(B213)-YEAR(B212)-1)</f>
        <v/>
      </c>
      <c r="F213" s="8">
        <f>K212</f>
        <v/>
      </c>
      <c r="G213" s="7">
        <f>$B$10</f>
        <v/>
      </c>
      <c r="H213" s="8">
        <f>F213*G213*E213</f>
        <v/>
      </c>
      <c r="I213" s="8">
        <f>SUM(H213:H213)</f>
        <v/>
      </c>
      <c r="J213" s="8">
        <f>$B$14-I213</f>
        <v/>
      </c>
      <c r="K213" s="8">
        <f>F213-J213</f>
        <v/>
      </c>
    </row>
    <row r="214">
      <c r="A214" t="n">
        <v>218</v>
      </c>
      <c r="B214" s="10">
        <f>MIN(DATE(YEAR($E$3),MONTH($E$3)+A214*$E$4,MIN($E$5,DAY(EOMONTH(DATE(YEAR($E$3),MONTH($E$3)+A214*$E$4,1),0)))),$B$6)</f>
        <v/>
      </c>
      <c r="C214" t="inlineStr">
        <is>
          <t>проценты, тело</t>
        </is>
      </c>
      <c r="D214">
        <f>B214-B213</f>
        <v/>
      </c>
      <c r="E214" s="11">
        <f>IF(YEAR(B213)=YEAR(B214),(B214-B213)/(DATE(YEAR(B213)+1,1,1)-DATE(YEAR(B213),1,1)),(DATE(YEAR(B213)+1,1,1)-B213)/(DATE(YEAR(B213)+1,1,1)-DATE(YEAR(B213),1,1))+(B214-DATE(YEAR(B214),1,1))/(DATE(YEAR(B214)+1,1,1)-DATE(YEAR(B214),1,1))+YEAR(B214)-YEAR(B213)-1)</f>
        <v/>
      </c>
      <c r="F214" s="8">
        <f>K213</f>
        <v/>
      </c>
      <c r="G214" s="7">
        <f>$B$10</f>
        <v/>
      </c>
      <c r="H214" s="8">
        <f>F214*G214*E214</f>
        <v/>
      </c>
      <c r="I214" s="8">
        <f>SUM(H214:H214)</f>
        <v/>
      </c>
      <c r="J214" s="8">
        <f>$B$14-I214</f>
        <v/>
      </c>
      <c r="K214" s="8">
        <f>F214-J214</f>
        <v/>
      </c>
    </row>
    <row r="215">
      <c r="A215" t="n">
        <v>219</v>
      </c>
      <c r="B215" s="10">
        <f>MIN(DATE(YEAR($E$3),MONTH($E$3)+A215*$E$4,MIN($E$5,DAY(EOMONTH(DATE(YEAR($E$3),MONTH($E$3)+A215*$E$4,1),0)))),$B$6)</f>
        <v/>
      </c>
      <c r="C215" t="inlineStr">
        <is>
          <t>проценты, тело</t>
        </is>
      </c>
      <c r="D215">
        <f>B215-B214</f>
        <v/>
      </c>
      <c r="E215" s="11">
        <f>IF(YEAR(B214)=YEAR(B215),(B215-B214)/(DATE(YEAR(B214)+1,1,1)-DATE(YEAR(B214),1,1)),(DATE(YEAR(B214)+1,1,1)-B214)/(DATE(YEAR(B214)+1,1,1)-DATE(YEAR(B214),1,1))+(B215-DATE(YEAR(B215),1,1))/(DATE(YEAR(B215)+1,1,1)-DATE(YEAR(B215),1,1))+YEAR(B215)-YEAR(B214)-1)</f>
        <v/>
      </c>
      <c r="F215" s="8">
        <f>K214</f>
        <v/>
      </c>
      <c r="G215" s="7">
        <f>$B$10</f>
        <v/>
      </c>
      <c r="H215" s="8">
        <f>F215*G215*E215</f>
        <v/>
      </c>
      <c r="I215" s="8">
        <f>SUM(H215:H215)</f>
        <v/>
      </c>
      <c r="J215" s="8">
        <f>$B$14-I215</f>
        <v/>
      </c>
      <c r="K215" s="8">
        <f>F215-J215</f>
        <v/>
      </c>
    </row>
    <row r="216">
      <c r="A216" t="n">
        <v>220</v>
      </c>
      <c r="B216" s="10">
        <f>MIN(DATE(YEAR($E$3),MONTH($E$3)+A216*$E$4,MIN($E$5,DAY(EOMONTH(DATE(YEAR($E$3),MONTH($E$3)+A216*$E$4,1),0)))),$B$6)</f>
        <v/>
      </c>
      <c r="C216" t="inlineStr">
        <is>
          <t>проценты, тело</t>
        </is>
      </c>
      <c r="D216">
        <f>B216-B215</f>
        <v/>
      </c>
      <c r="E216" s="11">
        <f>IF(YEAR(B215)=YEAR(B216),(B216-B215)/(DATE(YEAR(B215)+1,1,1)-DATE(YEAR(B215),1,1)),(DATE(YEAR(B215)+1,1,1)-B215)/(DATE(YEAR(B215)+1,1,1)-DATE(YEAR(B215),1,1))+(B216-DATE(YEAR(B216),1,1))/(DATE(YEAR(B216)+1,1,1)-DATE(YEAR(B216),1,1))+YEAR(B216)-YEAR(B215)-1)</f>
        <v/>
      </c>
      <c r="F216" s="8">
        <f>K215</f>
        <v/>
      </c>
      <c r="G216" s="7">
        <f>$B$10</f>
        <v/>
      </c>
      <c r="H216" s="8">
        <f>F216*G216*E216</f>
        <v/>
      </c>
      <c r="I216" s="8">
        <f>SUM(H216:H216)</f>
        <v/>
      </c>
      <c r="J216" s="8">
        <f>$B$14-I216</f>
        <v/>
      </c>
      <c r="K216" s="8">
        <f>F216-J216</f>
        <v/>
      </c>
    </row>
    <row r="217">
      <c r="A217" t="n">
        <v>221</v>
      </c>
      <c r="B217" s="10">
        <f>MIN(DATE(YEAR($E$3),MONTH($E$3)+A217*$E$4,MIN($E$5,DAY(EOMONTH(DATE(YEAR($E$3),MONTH($E$3)+A217*$E$4,1),0)))),$B$6)</f>
        <v/>
      </c>
      <c r="C217" t="inlineStr">
        <is>
          <t>проценты, тело</t>
        </is>
      </c>
      <c r="D217">
        <f>B217-B216</f>
        <v/>
      </c>
      <c r="E217" s="11">
        <f>IF(YEAR(B216)=YEAR(B217),(B217-B216)/(DATE(YEAR(B216)+1,1,1)-DATE(YEAR(B216),1,1)),(DATE(YEAR(B216)+1,1,1)-B216)/(DATE(YEAR(B216)+1,1,1)-DATE(YEAR(B216),1,1))+(B217-DATE(YEAR(B217),1,1))/(DATE(YEAR(B217)+1,1,1)-DATE(YEAR(B217),1,1))+YEAR(B217)-YEAR(B216)-1)</f>
        <v/>
      </c>
      <c r="F217" s="8">
        <f>K216</f>
        <v/>
      </c>
      <c r="G217" s="7">
        <f>$B$10</f>
        <v/>
      </c>
      <c r="H217" s="8">
        <f>F217*G217*E217</f>
        <v/>
      </c>
      <c r="I217" s="8">
        <f>SUM(H217:H217)</f>
        <v/>
      </c>
      <c r="J217" s="8">
        <f>$B$14-I217</f>
        <v/>
      </c>
      <c r="K217" s="8">
        <f>F217-J217</f>
        <v/>
      </c>
    </row>
    <row r="218">
      <c r="A218" t="n">
        <v>222</v>
      </c>
      <c r="B218" s="10">
        <f>MIN(DATE(YEAR($E$3),MONTH($E$3)+A218*$E$4,MIN($E$5,DAY(EOMONTH(DATE(YEAR($E$3),MONTH($E$3)+A218*$E$4,1),0)))),$B$6)</f>
        <v/>
      </c>
      <c r="C218" t="inlineStr">
        <is>
          <t>проценты, тело</t>
        </is>
      </c>
      <c r="D218">
        <f>B218-B217</f>
        <v/>
      </c>
      <c r="E218" s="11">
        <f>IF(YEAR(B217)=YEAR(B218),(B218-B217)/(DATE(YEAR(B217)+1,1,1)-DATE(YEAR(B217),1,1)),(DATE(YEAR(B217)+1,1,1)-B217)/(DATE(YEAR(B217)+1,1,1)-DATE(YEAR(B217),1,1))+(B218-DATE(YEAR(B218),1,1))/(DATE(YEAR(B218)+1,1,1)-DATE(YEAR(B218),1,1))+YEAR(B218)-YEAR(B217)-1)</f>
        <v/>
      </c>
      <c r="F218" s="8">
        <f>K217</f>
        <v/>
      </c>
      <c r="G218" s="7">
        <f>$B$10</f>
        <v/>
      </c>
      <c r="H218" s="8">
        <f>F218*G218*E218</f>
        <v/>
      </c>
      <c r="I218" s="8">
        <f>SUM(H218:H218)</f>
        <v/>
      </c>
      <c r="J218" s="8">
        <f>$B$14-I218</f>
        <v/>
      </c>
      <c r="K218" s="8">
        <f>F218-J218</f>
        <v/>
      </c>
    </row>
    <row r="219">
      <c r="A219" t="n">
        <v>223</v>
      </c>
      <c r="B219" s="10">
        <f>MIN(DATE(YEAR($E$3),MONTH($E$3)+A219*$E$4,MIN($E$5,DAY(EOMONTH(DATE(YEAR($E$3),MONTH($E$3)+A219*$E$4,1),0)))),$B$6)</f>
        <v/>
      </c>
      <c r="C219" t="inlineStr">
        <is>
          <t>проценты, тело</t>
        </is>
      </c>
      <c r="D219">
        <f>B219-B218</f>
        <v/>
      </c>
      <c r="E219" s="11">
        <f>IF(YEAR(B218)=YEAR(B219),(B219-B218)/(DATE(YEAR(B218)+1,1,1)-DATE(YEAR(B218),1,1)),(DATE(YEAR(B218)+1,1,1)-B218)/(DATE(YEAR(B218)+1,1,1)-DATE(YEAR(B218),1,1))+(B219-DATE(YEAR(B219),1,1))/(DATE(YEAR(B219)+1,1,1)-DATE(YEAR(B219),1,1))+YEAR(B219)-YEAR(B218)-1)</f>
        <v/>
      </c>
      <c r="F219" s="8">
        <f>K218</f>
        <v/>
      </c>
      <c r="G219" s="7">
        <f>$B$10</f>
        <v/>
      </c>
      <c r="H219" s="8">
        <f>F219*G219*E219</f>
        <v/>
      </c>
      <c r="I219" s="8">
        <f>SUM(H219:H219)</f>
        <v/>
      </c>
      <c r="J219" s="8">
        <f>$B$14-I219</f>
        <v/>
      </c>
      <c r="K219" s="8">
        <f>F219-J219</f>
        <v/>
      </c>
    </row>
    <row r="220">
      <c r="A220" t="n">
        <v>224</v>
      </c>
      <c r="B220" s="10">
        <f>MIN(DATE(YEAR($E$3),MONTH($E$3)+A220*$E$4,MIN($E$5,DAY(EOMONTH(DATE(YEAR($E$3),MONTH($E$3)+A220*$E$4,1),0)))),$B$6)</f>
        <v/>
      </c>
      <c r="C220" t="inlineStr">
        <is>
          <t>проценты, тело</t>
        </is>
      </c>
      <c r="D220">
        <f>B220-B219</f>
        <v/>
      </c>
      <c r="E220" s="11">
        <f>IF(YEAR(B219)=YEAR(B220),(B220-B219)/(DATE(YEAR(B219)+1,1,1)-DATE(YEAR(B219),1,1)),(DATE(YEAR(B219)+1,1,1)-B219)/(DATE(YEAR(B219)+1,1,1)-DATE(YEAR(B219),1,1))+(B220-DATE(YEAR(B220),1,1))/(DATE(YEAR(B220)+1,1,1)-DATE(YEAR(B220),1,1))+YEAR(B220)-YEAR(B219)-1)</f>
        <v/>
      </c>
      <c r="F220" s="8">
        <f>K219</f>
        <v/>
      </c>
      <c r="G220" s="7">
        <f>$B$10</f>
        <v/>
      </c>
      <c r="H220" s="8">
        <f>F220*G220*E220</f>
        <v/>
      </c>
      <c r="I220" s="8">
        <f>SUM(H220:H220)</f>
        <v/>
      </c>
      <c r="J220" s="8">
        <f>$B$14-I220</f>
        <v/>
      </c>
      <c r="K220" s="8">
        <f>F220-J220</f>
        <v/>
      </c>
    </row>
    <row r="221">
      <c r="A221" t="n">
        <v>225</v>
      </c>
      <c r="B221" s="10">
        <f>MIN(DATE(YEAR($E$3),MONTH($E$3)+A221*$E$4,MIN($E$5,DAY(EOMONTH(DATE(YEAR($E$3),MONTH($E$3)+A221*$E$4,1),0)))),$B$6)</f>
        <v/>
      </c>
      <c r="C221" t="inlineStr">
        <is>
          <t>проценты, тело</t>
        </is>
      </c>
      <c r="D221">
        <f>B221-B220</f>
        <v/>
      </c>
      <c r="E221" s="11">
        <f>IF(YEAR(B220)=YEAR(B221),(B221-B220)/(DATE(YEAR(B220)+1,1,1)-DATE(YEAR(B220),1,1)),(DATE(YEAR(B220)+1,1,1)-B220)/(DATE(YEAR(B220)+1,1,1)-DATE(YEAR(B220),1,1))+(B221-DATE(YEAR(B221),1,1))/(DATE(YEAR(B221)+1,1,1)-DATE(YEAR(B221),1,1))+YEAR(B221)-YEAR(B220)-1)</f>
        <v/>
      </c>
      <c r="F221" s="8">
        <f>K220</f>
        <v/>
      </c>
      <c r="G221" s="7">
        <f>$B$10</f>
        <v/>
      </c>
      <c r="H221" s="8">
        <f>F221*G221*E221</f>
        <v/>
      </c>
      <c r="I221" s="8">
        <f>SUM(H221:H221)</f>
        <v/>
      </c>
      <c r="J221" s="8">
        <f>$B$14-I221</f>
        <v/>
      </c>
      <c r="K221" s="8">
        <f>F221-J221</f>
        <v/>
      </c>
    </row>
    <row r="222">
      <c r="A222" t="n">
        <v>226</v>
      </c>
      <c r="B222" s="10">
        <f>MIN(DATE(YEAR($E$3),MONTH($E$3)+A222*$E$4,MIN($E$5,DAY(EOMONTH(DATE(YEAR($E$3),MONTH($E$3)+A222*$E$4,1),0)))),$B$6)</f>
        <v/>
      </c>
      <c r="C222" t="inlineStr">
        <is>
          <t>проценты, тело</t>
        </is>
      </c>
      <c r="D222">
        <f>B222-B221</f>
        <v/>
      </c>
      <c r="E222" s="11">
        <f>IF(YEAR(B221)=YEAR(B222),(B222-B221)/(DATE(YEAR(B221)+1,1,1)-DATE(YEAR(B221),1,1)),(DATE(YEAR(B221)+1,1,1)-B221)/(DATE(YEAR(B221)+1,1,1)-DATE(YEAR(B221),1,1))+(B222-DATE(YEAR(B222),1,1))/(DATE(YEAR(B222)+1,1,1)-DATE(YEAR(B222),1,1))+YEAR(B222)-YEAR(B221)-1)</f>
        <v/>
      </c>
      <c r="F222" s="8">
        <f>K221</f>
        <v/>
      </c>
      <c r="G222" s="7">
        <f>$B$10</f>
        <v/>
      </c>
      <c r="H222" s="8">
        <f>F222*G222*E222</f>
        <v/>
      </c>
      <c r="I222" s="8">
        <f>SUM(H222:H222)</f>
        <v/>
      </c>
      <c r="J222" s="8">
        <f>$B$14-I222</f>
        <v/>
      </c>
      <c r="K222" s="8">
        <f>F222-J222</f>
        <v/>
      </c>
    </row>
    <row r="223">
      <c r="A223" t="n">
        <v>227</v>
      </c>
      <c r="B223" s="10">
        <f>MIN(DATE(YEAR($E$3),MONTH($E$3)+A223*$E$4,MIN($E$5,DAY(EOMONTH(DATE(YEAR($E$3),MONTH($E$3)+A223*$E$4,1),0)))),$B$6)</f>
        <v/>
      </c>
      <c r="C223" t="inlineStr">
        <is>
          <t>проценты, тело</t>
        </is>
      </c>
      <c r="D223">
        <f>B223-B222</f>
        <v/>
      </c>
      <c r="E223" s="11">
        <f>IF(YEAR(B222)=YEAR(B223),(B223-B222)/(DATE(YEAR(B222)+1,1,1)-DATE(YEAR(B222),1,1)),(DATE(YEAR(B222)+1,1,1)-B222)/(DATE(YEAR(B222)+1,1,1)-DATE(YEAR(B222),1,1))+(B223-DATE(YEAR(B223),1,1))/(DATE(YEAR(B223)+1,1,1)-DATE(YEAR(B223),1,1))+YEAR(B223)-YEAR(B222)-1)</f>
        <v/>
      </c>
      <c r="F223" s="8">
        <f>K222</f>
        <v/>
      </c>
      <c r="G223" s="7">
        <f>$B$10</f>
        <v/>
      </c>
      <c r="H223" s="8">
        <f>F223*G223*E223</f>
        <v/>
      </c>
      <c r="I223" s="8">
        <f>SUM(H223:H223)</f>
        <v/>
      </c>
      <c r="J223" s="8">
        <f>$B$14-I223</f>
        <v/>
      </c>
      <c r="K223" s="8">
        <f>F223-J223</f>
        <v/>
      </c>
    </row>
    <row r="224">
      <c r="A224" t="n">
        <v>228</v>
      </c>
      <c r="B224" s="10">
        <f>MIN(DATE(YEAR($E$3),MONTH($E$3)+A224*$E$4,MIN($E$5,DAY(EOMONTH(DATE(YEAR($E$3),MONTH($E$3)+A224*$E$4,1),0)))),$B$6)</f>
        <v/>
      </c>
      <c r="C224" t="inlineStr">
        <is>
          <t>проценты, тело</t>
        </is>
      </c>
      <c r="D224">
        <f>B224-B223</f>
        <v/>
      </c>
      <c r="E224" s="11">
        <f>IF(YEAR(B223)=YEAR(B224),(B224-B223)/(DATE(YEAR(B223)+1,1,1)-DATE(YEAR(B223),1,1)),(DATE(YEAR(B223)+1,1,1)-B223)/(DATE(YEAR(B223)+1,1,1)-DATE(YEAR(B223),1,1))+(B224-DATE(YEAR(B224),1,1))/(DATE(YEAR(B224)+1,1,1)-DATE(YEAR(B224),1,1))+YEAR(B224)-YEAR(B223)-1)</f>
        <v/>
      </c>
      <c r="F224" s="8">
        <f>K223</f>
        <v/>
      </c>
      <c r="G224" s="7">
        <f>$B$10</f>
        <v/>
      </c>
      <c r="H224" s="8">
        <f>F224*G224*E224</f>
        <v/>
      </c>
      <c r="I224" s="8">
        <f>SUM(H224:H224)</f>
        <v/>
      </c>
      <c r="J224" s="8">
        <f>$B$14-I224</f>
        <v/>
      </c>
      <c r="K224" s="8">
        <f>F224-J224</f>
        <v/>
      </c>
    </row>
    <row r="225">
      <c r="A225" t="n">
        <v>229</v>
      </c>
      <c r="B225" s="10">
        <f>MIN(DATE(YEAR($E$3),MONTH($E$3)+A225*$E$4,MIN($E$5,DAY(EOMONTH(DATE(YEAR($E$3),MONTH($E$3)+A225*$E$4,1),0)))),$B$6)</f>
        <v/>
      </c>
      <c r="C225" t="inlineStr">
        <is>
          <t>проценты, тело</t>
        </is>
      </c>
      <c r="D225">
        <f>B225-B224</f>
        <v/>
      </c>
      <c r="E225" s="11">
        <f>IF(YEAR(B224)=YEAR(B225),(B225-B224)/(DATE(YEAR(B224)+1,1,1)-DATE(YEAR(B224),1,1)),(DATE(YEAR(B224)+1,1,1)-B224)/(DATE(YEAR(B224)+1,1,1)-DATE(YEAR(B224),1,1))+(B225-DATE(YEAR(B225),1,1))/(DATE(YEAR(B225)+1,1,1)-DATE(YEAR(B225),1,1))+YEAR(B225)-YEAR(B224)-1)</f>
        <v/>
      </c>
      <c r="F225" s="8">
        <f>K224</f>
        <v/>
      </c>
      <c r="G225" s="7">
        <f>$B$10</f>
        <v/>
      </c>
      <c r="H225" s="8">
        <f>F225*G225*E225</f>
        <v/>
      </c>
      <c r="I225" s="8">
        <f>SUM(H225:H225)</f>
        <v/>
      </c>
      <c r="J225" s="8">
        <f>$B$14-I225</f>
        <v/>
      </c>
      <c r="K225" s="8">
        <f>F225-J225</f>
        <v/>
      </c>
    </row>
    <row r="226">
      <c r="A226" t="n">
        <v>230</v>
      </c>
      <c r="B226" s="10">
        <f>MIN(DATE(YEAR($E$3),MONTH($E$3)+A226*$E$4,MIN($E$5,DAY(EOMONTH(DATE(YEAR($E$3),MONTH($E$3)+A226*$E$4,1),0)))),$B$6)</f>
        <v/>
      </c>
      <c r="C226" t="inlineStr">
        <is>
          <t>проценты, тело</t>
        </is>
      </c>
      <c r="D226">
        <f>B226-B225</f>
        <v/>
      </c>
      <c r="E226" s="11">
        <f>IF(YEAR(B225)=YEAR(B226),(B226-B225)/(DATE(YEAR(B225)+1,1,1)-DATE(YEAR(B225),1,1)),(DATE(YEAR(B225)+1,1,1)-B225)/(DATE(YEAR(B225)+1,1,1)-DATE(YEAR(B225),1,1))+(B226-DATE(YEAR(B226),1,1))/(DATE(YEAR(B226)+1,1,1)-DATE(YEAR(B226),1,1))+YEAR(B226)-YEAR(B225)-1)</f>
        <v/>
      </c>
      <c r="F226" s="8">
        <f>K225</f>
        <v/>
      </c>
      <c r="G226" s="7">
        <f>$B$10</f>
        <v/>
      </c>
      <c r="H226" s="8">
        <f>F226*G226*E226</f>
        <v/>
      </c>
      <c r="I226" s="8">
        <f>SUM(H226:H226)</f>
        <v/>
      </c>
      <c r="J226" s="8">
        <f>$B$14-I226</f>
        <v/>
      </c>
      <c r="K226" s="8">
        <f>F226-J226</f>
        <v/>
      </c>
    </row>
    <row r="227">
      <c r="A227" t="n">
        <v>231</v>
      </c>
      <c r="B227" s="10">
        <f>MIN(DATE(YEAR($E$3),MONTH($E$3)+A227*$E$4,MIN($E$5,DAY(EOMONTH(DATE(YEAR($E$3),MONTH($E$3)+A227*$E$4,1),0)))),$B$6)</f>
        <v/>
      </c>
      <c r="C227" t="inlineStr">
        <is>
          <t>проценты, тело</t>
        </is>
      </c>
      <c r="D227">
        <f>B227-B226</f>
        <v/>
      </c>
      <c r="E227" s="11">
        <f>IF(YEAR(B226)=YEAR(B227),(B227-B226)/(DATE(YEAR(B226)+1,1,1)-DATE(YEAR(B226),1,1)),(DATE(YEAR(B226)+1,1,1)-B226)/(DATE(YEAR(B226)+1,1,1)-DATE(YEAR(B226),1,1))+(B227-DATE(YEAR(B227),1,1))/(DATE(YEAR(B227)+1,1,1)-DATE(YEAR(B227),1,1))+YEAR(B227)-YEAR(B226)-1)</f>
        <v/>
      </c>
      <c r="F227" s="8">
        <f>K226</f>
        <v/>
      </c>
      <c r="G227" s="7">
        <f>$B$10</f>
        <v/>
      </c>
      <c r="H227" s="8">
        <f>F227*G227*E227</f>
        <v/>
      </c>
      <c r="I227" s="8">
        <f>SUM(H227:H227)</f>
        <v/>
      </c>
      <c r="J227" s="8">
        <f>$B$14-I227</f>
        <v/>
      </c>
      <c r="K227" s="8">
        <f>F227-J227</f>
        <v/>
      </c>
    </row>
    <row r="228">
      <c r="A228" t="n">
        <v>232</v>
      </c>
      <c r="B228" s="10">
        <f>MIN(DATE(YEAR($E$3),MONTH($E$3)+A228*$E$4,MIN($E$5,DAY(EOMONTH(DATE(YEAR($E$3),MONTH($E$3)+A228*$E$4,1),0)))),$B$6)</f>
        <v/>
      </c>
      <c r="C228" t="inlineStr">
        <is>
          <t>проценты, тело</t>
        </is>
      </c>
      <c r="D228">
        <f>B228-B227</f>
        <v/>
      </c>
      <c r="E228" s="11">
        <f>IF(YEAR(B227)=YEAR(B228),(B228-B227)/(DATE(YEAR(B227)+1,1,1)-DATE(YEAR(B227),1,1)),(DATE(YEAR(B227)+1,1,1)-B227)/(DATE(YEAR(B227)+1,1,1)-DATE(YEAR(B227),1,1))+(B228-DATE(YEAR(B228),1,1))/(DATE(YEAR(B228)+1,1,1)-DATE(YEAR(B228),1,1))+YEAR(B228)-YEAR(B227)-1)</f>
        <v/>
      </c>
      <c r="F228" s="8">
        <f>K227</f>
        <v/>
      </c>
      <c r="G228" s="7">
        <f>$B$10</f>
        <v/>
      </c>
      <c r="H228" s="8">
        <f>F228*G228*E228</f>
        <v/>
      </c>
      <c r="I228" s="8">
        <f>SUM(H228:H228)</f>
        <v/>
      </c>
      <c r="J228" s="8">
        <f>$B$14-I228</f>
        <v/>
      </c>
      <c r="K228" s="8">
        <f>F228-J228</f>
        <v/>
      </c>
    </row>
    <row r="229">
      <c r="A229" t="n">
        <v>233</v>
      </c>
      <c r="B229" s="10">
        <f>MIN(DATE(YEAR($E$3),MONTH($E$3)+A229*$E$4,MIN($E$5,DAY(EOMONTH(DATE(YEAR($E$3),MONTH($E$3)+A229*$E$4,1),0)))),$B$6)</f>
        <v/>
      </c>
      <c r="C229" t="inlineStr">
        <is>
          <t>проценты, тело</t>
        </is>
      </c>
      <c r="D229">
        <f>B229-B228</f>
        <v/>
      </c>
      <c r="E229" s="11">
        <f>IF(YEAR(B228)=YEAR(B229),(B229-B228)/(DATE(YEAR(B228)+1,1,1)-DATE(YEAR(B228),1,1)),(DATE(YEAR(B228)+1,1,1)-B228)/(DATE(YEAR(B228)+1,1,1)-DATE(YEAR(B228),1,1))+(B229-DATE(YEAR(B229),1,1))/(DATE(YEAR(B229)+1,1,1)-DATE(YEAR(B229),1,1))+YEAR(B229)-YEAR(B228)-1)</f>
        <v/>
      </c>
      <c r="F229" s="8">
        <f>K228</f>
        <v/>
      </c>
      <c r="G229" s="7">
        <f>$B$10</f>
        <v/>
      </c>
      <c r="H229" s="8">
        <f>F229*G229*E229</f>
        <v/>
      </c>
      <c r="I229" s="8">
        <f>SUM(H229:H229)</f>
        <v/>
      </c>
      <c r="J229" s="8">
        <f>$B$14-I229</f>
        <v/>
      </c>
      <c r="K229" s="8">
        <f>F229-J229</f>
        <v/>
      </c>
    </row>
    <row r="230">
      <c r="A230" t="n">
        <v>234</v>
      </c>
      <c r="B230" s="10">
        <f>MIN(DATE(YEAR($E$3),MONTH($E$3)+A230*$E$4,MIN($E$5,DAY(EOMONTH(DATE(YEAR($E$3),MONTH($E$3)+A230*$E$4,1),0)))),$B$6)</f>
        <v/>
      </c>
      <c r="C230" t="inlineStr">
        <is>
          <t>проценты, тело</t>
        </is>
      </c>
      <c r="D230">
        <f>B230-B229</f>
        <v/>
      </c>
      <c r="E230" s="11">
        <f>IF(YEAR(B229)=YEAR(B230),(B230-B229)/(DATE(YEAR(B229)+1,1,1)-DATE(YEAR(B229),1,1)),(DATE(YEAR(B229)+1,1,1)-B229)/(DATE(YEAR(B229)+1,1,1)-DATE(YEAR(B229),1,1))+(B230-DATE(YEAR(B230),1,1))/(DATE(YEAR(B230)+1,1,1)-DATE(YEAR(B230),1,1))+YEAR(B230)-YEAR(B229)-1)</f>
        <v/>
      </c>
      <c r="F230" s="8">
        <f>K229</f>
        <v/>
      </c>
      <c r="G230" s="7">
        <f>$B$10</f>
        <v/>
      </c>
      <c r="H230" s="8">
        <f>F230*G230*E230</f>
        <v/>
      </c>
      <c r="I230" s="8">
        <f>SUM(H230:H230)</f>
        <v/>
      </c>
      <c r="J230" s="8">
        <f>$B$14-I230</f>
        <v/>
      </c>
      <c r="K230" s="8">
        <f>F230-J230</f>
        <v/>
      </c>
    </row>
    <row r="231">
      <c r="A231" t="n">
        <v>235</v>
      </c>
      <c r="B231" s="10">
        <f>MIN(DATE(YEAR($E$3),MONTH($E$3)+A231*$E$4,MIN($E$5,DAY(EOMONTH(DATE(YEAR($E$3),MONTH($E$3)+A231*$E$4,1),0)))),$B$6)</f>
        <v/>
      </c>
      <c r="C231" t="inlineStr">
        <is>
          <t>проценты, тело</t>
        </is>
      </c>
      <c r="D231">
        <f>B231-B230</f>
        <v/>
      </c>
      <c r="E231" s="11">
        <f>IF(YEAR(B230)=YEAR(B231),(B231-B230)/(DATE(YEAR(B230)+1,1,1)-DATE(YEAR(B230),1,1)),(DATE(YEAR(B230)+1,1,1)-B230)/(DATE(YEAR(B230)+1,1,1)-DATE(YEAR(B230),1,1))+(B231-DATE(YEAR(B231),1,1))/(DATE(YEAR(B231)+1,1,1)-DATE(YEAR(B231),1,1))+YEAR(B231)-YEAR(B230)-1)</f>
        <v/>
      </c>
      <c r="F231" s="8">
        <f>K230</f>
        <v/>
      </c>
      <c r="G231" s="7">
        <f>$B$10</f>
        <v/>
      </c>
      <c r="H231" s="8">
        <f>F231*G231*E231</f>
        <v/>
      </c>
      <c r="I231" s="8">
        <f>SUM(H231:H231)</f>
        <v/>
      </c>
      <c r="J231" s="8">
        <f>$B$14-I231</f>
        <v/>
      </c>
      <c r="K231" s="8">
        <f>F231-J231</f>
        <v/>
      </c>
    </row>
    <row r="232">
      <c r="A232" t="n">
        <v>236</v>
      </c>
      <c r="B232" s="10">
        <f>MIN(DATE(YEAR($E$3),MONTH($E$3)+A232*$E$4,MIN($E$5,DAY(EOMONTH(DATE(YEAR($E$3),MONTH($E$3)+A232*$E$4,1),0)))),$B$6)</f>
        <v/>
      </c>
      <c r="C232" t="inlineStr">
        <is>
          <t>проценты, тело</t>
        </is>
      </c>
      <c r="D232">
        <f>B232-B231</f>
        <v/>
      </c>
      <c r="E232" s="11">
        <f>IF(YEAR(B231)=YEAR(B232),(B232-B231)/(DATE(YEAR(B231)+1,1,1)-DATE(YEAR(B231),1,1)),(DATE(YEAR(B231)+1,1,1)-B231)/(DATE(YEAR(B231)+1,1,1)-DATE(YEAR(B231),1,1))+(B232-DATE(YEAR(B232),1,1))/(DATE(YEAR(B232)+1,1,1)-DATE(YEAR(B232),1,1))+YEAR(B232)-YEAR(B231)-1)</f>
        <v/>
      </c>
      <c r="F232" s="8">
        <f>K231</f>
        <v/>
      </c>
      <c r="G232" s="7">
        <f>$B$10</f>
        <v/>
      </c>
      <c r="H232" s="8">
        <f>F232*G232*E232</f>
        <v/>
      </c>
      <c r="I232" s="8">
        <f>SUM(H232:H232)</f>
        <v/>
      </c>
      <c r="J232" s="8">
        <f>$B$14-I232</f>
        <v/>
      </c>
      <c r="K232" s="8">
        <f>F232-J232</f>
        <v/>
      </c>
    </row>
    <row r="233">
      <c r="A233" t="n">
        <v>237</v>
      </c>
      <c r="B233" s="10">
        <f>MIN(DATE(YEAR($E$3),MONTH($E$3)+A233*$E$4,MIN($E$5,DAY(EOMONTH(DATE(YEAR($E$3),MONTH($E$3)+A233*$E$4,1),0)))),$B$6)</f>
        <v/>
      </c>
      <c r="C233" t="inlineStr">
        <is>
          <t>проценты, тело</t>
        </is>
      </c>
      <c r="D233">
        <f>B233-B232</f>
        <v/>
      </c>
      <c r="E233" s="11">
        <f>IF(YEAR(B232)=YEAR(B233),(B233-B232)/(DATE(YEAR(B232)+1,1,1)-DATE(YEAR(B232),1,1)),(DATE(YEAR(B232)+1,1,1)-B232)/(DATE(YEAR(B232)+1,1,1)-DATE(YEAR(B232),1,1))+(B233-DATE(YEAR(B233),1,1))/(DATE(YEAR(B233)+1,1,1)-DATE(YEAR(B233),1,1))+YEAR(B233)-YEAR(B232)-1)</f>
        <v/>
      </c>
      <c r="F233" s="8">
        <f>K232</f>
        <v/>
      </c>
      <c r="G233" s="7">
        <f>$B$10</f>
        <v/>
      </c>
      <c r="H233" s="8">
        <f>F233*G233*E233</f>
        <v/>
      </c>
      <c r="I233" s="8">
        <f>SUM(H233:H233)</f>
        <v/>
      </c>
      <c r="J233" s="8">
        <f>$B$14-I233</f>
        <v/>
      </c>
      <c r="K233" s="8">
        <f>F233-J233</f>
        <v/>
      </c>
    </row>
    <row r="234">
      <c r="A234" t="n">
        <v>238</v>
      </c>
      <c r="B234" s="10">
        <f>MIN(DATE(YEAR($E$3),MONTH($E$3)+A234*$E$4,MIN($E$5,DAY(EOMONTH(DATE(YEAR($E$3),MONTH($E$3)+A234*$E$4,1),0)))),$B$6)</f>
        <v/>
      </c>
      <c r="C234" t="inlineStr">
        <is>
          <t>проценты, тело</t>
        </is>
      </c>
      <c r="D234">
        <f>B234-B233</f>
        <v/>
      </c>
      <c r="E234" s="11">
        <f>IF(YEAR(B233)=YEAR(B234),(B234-B233)/(DATE(YEAR(B233)+1,1,1)-DATE(YEAR(B233),1,1)),(DATE(YEAR(B233)+1,1,1)-B233)/(DATE(YEAR(B233)+1,1,1)-DATE(YEAR(B233),1,1))+(B234-DATE(YEAR(B234),1,1))/(DATE(YEAR(B234)+1,1,1)-DATE(YEAR(B234),1,1))+YEAR(B234)-YEAR(B233)-1)</f>
        <v/>
      </c>
      <c r="F234" s="8">
        <f>K233</f>
        <v/>
      </c>
      <c r="G234" s="7">
        <f>$B$10</f>
        <v/>
      </c>
      <c r="H234" s="8">
        <f>F234*G234*E234</f>
        <v/>
      </c>
      <c r="I234" s="8">
        <f>SUM(H234:H234)</f>
        <v/>
      </c>
      <c r="J234" s="8">
        <f>$B$14-I234</f>
        <v/>
      </c>
      <c r="K234" s="8">
        <f>F234-J234</f>
        <v/>
      </c>
    </row>
    <row r="235">
      <c r="A235" t="n">
        <v>239</v>
      </c>
      <c r="B235" s="10">
        <f>MIN(DATE(YEAR($E$3),MONTH($E$3)+A235*$E$4,MIN($E$5,DAY(EOMONTH(DATE(YEAR($E$3),MONTH($E$3)+A235*$E$4,1),0)))),$B$6)</f>
        <v/>
      </c>
      <c r="C235" t="inlineStr">
        <is>
          <t>проценты, тело</t>
        </is>
      </c>
      <c r="D235">
        <f>B235-B234</f>
        <v/>
      </c>
      <c r="E235" s="11">
        <f>IF(YEAR(B234)=YEAR(B235),(B235-B234)/(DATE(YEAR(B234)+1,1,1)-DATE(YEAR(B234),1,1)),(DATE(YEAR(B234)+1,1,1)-B234)/(DATE(YEAR(B234)+1,1,1)-DATE(YEAR(B234),1,1))+(B235-DATE(YEAR(B235),1,1))/(DATE(YEAR(B235)+1,1,1)-DATE(YEAR(B235),1,1))+YEAR(B235)-YEAR(B234)-1)</f>
        <v/>
      </c>
      <c r="F235" s="8">
        <f>K234</f>
        <v/>
      </c>
      <c r="G235" s="7">
        <f>$B$10</f>
        <v/>
      </c>
      <c r="H235" s="8">
        <f>F235*G235*E235</f>
        <v/>
      </c>
      <c r="I235" s="8">
        <f>SUM(H235:H235)</f>
        <v/>
      </c>
      <c r="J235" s="8">
        <f>$B$14-I235</f>
        <v/>
      </c>
      <c r="K235" s="8">
        <f>F235-J235</f>
        <v/>
      </c>
    </row>
    <row r="236">
      <c r="A236" t="n">
        <v>240</v>
      </c>
      <c r="B236" s="10">
        <f>MIN(DATE(YEAR($E$3),MONTH($E$3)+A236*$E$4,MIN($E$5,DAY(EOMONTH(DATE(YEAR($E$3),MONTH($E$3)+A236*$E$4,1),0)))),$B$6)</f>
        <v/>
      </c>
      <c r="C236" t="inlineStr">
        <is>
          <t>проценты, тело</t>
        </is>
      </c>
      <c r="D236">
        <f>B236-B235</f>
        <v/>
      </c>
      <c r="E236" s="11">
        <f>IF(YEAR(B235)=YEAR(B236),(B236-B235)/(DATE(YEAR(B235)+1,1,1)-DATE(YEAR(B235),1,1)),(DATE(YEAR(B235)+1,1,1)-B235)/(DATE(YEAR(B235)+1,1,1)-DATE(YEAR(B235),1,1))+(B236-DATE(YEAR(B236),1,1))/(DATE(YEAR(B236)+1,1,1)-DATE(YEAR(B236),1,1))+YEAR(B236)-YEAR(B235)-1)</f>
        <v/>
      </c>
      <c r="F236" s="8">
        <f>K235</f>
        <v/>
      </c>
      <c r="G236" s="7">
        <f>$B$10</f>
        <v/>
      </c>
      <c r="H236" s="8">
        <f>F236*G236*E236</f>
        <v/>
      </c>
      <c r="I236" s="8">
        <f>SUM(H236:H236)</f>
        <v/>
      </c>
      <c r="J236" s="8">
        <f>$B$14-I236</f>
        <v/>
      </c>
      <c r="K236" s="8">
        <f>F236-J236</f>
        <v/>
      </c>
    </row>
    <row r="237">
      <c r="A237" t="n">
        <v>241</v>
      </c>
      <c r="B237" s="10">
        <f>MIN(DATE(YEAR($E$3),MONTH($E$3)+A237*$E$4,MIN($E$5,DAY(EOMONTH(DATE(YEAR($E$3),MONTH($E$3)+A237*$E$4,1),0)))),$B$6)</f>
        <v/>
      </c>
      <c r="C237" t="inlineStr">
        <is>
          <t>проценты, тело</t>
        </is>
      </c>
      <c r="D237">
        <f>B237-B236</f>
        <v/>
      </c>
      <c r="E237" s="11">
        <f>IF(YEAR(B236)=YEAR(B237),(B237-B236)/(DATE(YEAR(B236)+1,1,1)-DATE(YEAR(B236),1,1)),(DATE(YEAR(B236)+1,1,1)-B236)/(DATE(YEAR(B236)+1,1,1)-DATE(YEAR(B236),1,1))+(B237-DATE(YEAR(B237),1,1))/(DATE(YEAR(B237)+1,1,1)-DATE(YEAR(B237),1,1))+YEAR(B237)-YEAR(B236)-1)</f>
        <v/>
      </c>
      <c r="F237" s="8">
        <f>K236</f>
        <v/>
      </c>
      <c r="G237" s="7">
        <f>$B$10</f>
        <v/>
      </c>
      <c r="H237" s="8">
        <f>F237*G237*E237</f>
        <v/>
      </c>
      <c r="I237" s="8">
        <f>SUM(H237:H237)</f>
        <v/>
      </c>
      <c r="J237" s="8">
        <f>$B$14-I237</f>
        <v/>
      </c>
      <c r="K237" s="8">
        <f>F237-J237</f>
        <v/>
      </c>
    </row>
    <row r="238">
      <c r="A238" t="n">
        <v>242</v>
      </c>
      <c r="B238" s="10">
        <f>MIN(DATE(YEAR($E$3),MONTH($E$3)+A238*$E$4,MIN($E$5,DAY(EOMONTH(DATE(YEAR($E$3),MONTH($E$3)+A238*$E$4,1),0)))),$B$6)</f>
        <v/>
      </c>
      <c r="C238" t="inlineStr">
        <is>
          <t>проценты, тело</t>
        </is>
      </c>
      <c r="D238">
        <f>B238-B237</f>
        <v/>
      </c>
      <c r="E238" s="11">
        <f>IF(YEAR(B237)=YEAR(B238),(B238-B237)/(DATE(YEAR(B237)+1,1,1)-DATE(YEAR(B237),1,1)),(DATE(YEAR(B237)+1,1,1)-B237)/(DATE(YEAR(B237)+1,1,1)-DATE(YEAR(B237),1,1))+(B238-DATE(YEAR(B238),1,1))/(DATE(YEAR(B238)+1,1,1)-DATE(YEAR(B238),1,1))+YEAR(B238)-YEAR(B237)-1)</f>
        <v/>
      </c>
      <c r="F238" s="8">
        <f>K237</f>
        <v/>
      </c>
      <c r="G238" s="7">
        <f>$B$10</f>
        <v/>
      </c>
      <c r="H238" s="8">
        <f>F238*G238*E238</f>
        <v/>
      </c>
      <c r="I238" s="8">
        <f>SUM(H238:H238)</f>
        <v/>
      </c>
      <c r="J238" s="8">
        <f>$B$14-I238</f>
        <v/>
      </c>
      <c r="K238" s="8">
        <f>F238-J238</f>
        <v/>
      </c>
    </row>
    <row r="239">
      <c r="A239" t="n">
        <v>243</v>
      </c>
      <c r="B239" s="10">
        <f>MIN(DATE(YEAR($E$3),MONTH($E$3)+A239*$E$4,MIN($E$5,DAY(EOMONTH(DATE(YEAR($E$3),MONTH($E$3)+A239*$E$4,1),0)))),$B$6)</f>
        <v/>
      </c>
      <c r="C239" t="inlineStr">
        <is>
          <t>проценты, тело</t>
        </is>
      </c>
      <c r="D239">
        <f>B239-B238</f>
        <v/>
      </c>
      <c r="E239" s="11">
        <f>IF(YEAR(B238)=YEAR(B239),(B239-B238)/(DATE(YEAR(B238)+1,1,1)-DATE(YEAR(B238),1,1)),(DATE(YEAR(B238)+1,1,1)-B238)/(DATE(YEAR(B238)+1,1,1)-DATE(YEAR(B238),1,1))+(B239-DATE(YEAR(B239),1,1))/(DATE(YEAR(B239)+1,1,1)-DATE(YEAR(B239),1,1))+YEAR(B239)-YEAR(B238)-1)</f>
        <v/>
      </c>
      <c r="F239" s="8">
        <f>K238</f>
        <v/>
      </c>
      <c r="G239" s="7">
        <f>$B$10</f>
        <v/>
      </c>
      <c r="H239" s="8">
        <f>F239*G239*E239</f>
        <v/>
      </c>
      <c r="I239" s="8">
        <f>SUM(H239:H239)</f>
        <v/>
      </c>
      <c r="J239" s="8">
        <f>$B$14-I239</f>
        <v/>
      </c>
      <c r="K239" s="8">
        <f>F239-J239</f>
        <v/>
      </c>
    </row>
    <row r="240">
      <c r="A240" t="n">
        <v>244</v>
      </c>
      <c r="B240" s="10">
        <f>MIN(DATE(YEAR($E$3),MONTH($E$3)+A240*$E$4,MIN($E$5,DAY(EOMONTH(DATE(YEAR($E$3),MONTH($E$3)+A240*$E$4,1),0)))),$B$6)</f>
        <v/>
      </c>
      <c r="C240" t="inlineStr">
        <is>
          <t>проценты, тело</t>
        </is>
      </c>
      <c r="D240">
        <f>B240-B239</f>
        <v/>
      </c>
      <c r="E240" s="11">
        <f>IF(YEAR(B239)=YEAR(B240),(B240-B239)/(DATE(YEAR(B239)+1,1,1)-DATE(YEAR(B239),1,1)),(DATE(YEAR(B239)+1,1,1)-B239)/(DATE(YEAR(B239)+1,1,1)-DATE(YEAR(B239),1,1))+(B240-DATE(YEAR(B240),1,1))/(DATE(YEAR(B240)+1,1,1)-DATE(YEAR(B240),1,1))+YEAR(B240)-YEAR(B239)-1)</f>
        <v/>
      </c>
      <c r="F240" s="8">
        <f>K239</f>
        <v/>
      </c>
      <c r="G240" s="7">
        <f>$B$10</f>
        <v/>
      </c>
      <c r="H240" s="8">
        <f>F240*G240*E240</f>
        <v/>
      </c>
      <c r="I240" s="8">
        <f>SUM(H240:H240)</f>
        <v/>
      </c>
      <c r="J240" s="8">
        <f>$B$14-I240</f>
        <v/>
      </c>
      <c r="K240" s="8">
        <f>F240-J240</f>
        <v/>
      </c>
    </row>
    <row r="241">
      <c r="A241" t="n">
        <v>245</v>
      </c>
      <c r="B241" s="10">
        <f>MIN(DATE(YEAR($E$3),MONTH($E$3)+A241*$E$4,MIN($E$5,DAY(EOMONTH(DATE(YEAR($E$3),MONTH($E$3)+A241*$E$4,1),0)))),$B$6)</f>
        <v/>
      </c>
      <c r="C241" t="inlineStr">
        <is>
          <t>проценты, тело</t>
        </is>
      </c>
      <c r="D241">
        <f>B241-B240</f>
        <v/>
      </c>
      <c r="E241" s="11">
        <f>IF(YEAR(B240)=YEAR(B241),(B241-B240)/(DATE(YEAR(B240)+1,1,1)-DATE(YEAR(B240),1,1)),(DATE(YEAR(B240)+1,1,1)-B240)/(DATE(YEAR(B240)+1,1,1)-DATE(YEAR(B240),1,1))+(B241-DATE(YEAR(B241),1,1))/(DATE(YEAR(B241)+1,1,1)-DATE(YEAR(B241),1,1))+YEAR(B241)-YEAR(B240)-1)</f>
        <v/>
      </c>
      <c r="F241" s="8">
        <f>K240</f>
        <v/>
      </c>
      <c r="G241" s="7">
        <f>$B$10</f>
        <v/>
      </c>
      <c r="H241" s="8">
        <f>F241*G241*E241</f>
        <v/>
      </c>
      <c r="I241" s="8">
        <f>SUM(H241:H241)</f>
        <v/>
      </c>
      <c r="J241" s="8">
        <f>$B$14-I241</f>
        <v/>
      </c>
      <c r="K241" s="8">
        <f>F241-J241</f>
        <v/>
      </c>
    </row>
    <row r="242">
      <c r="A242" t="n">
        <v>246</v>
      </c>
      <c r="B242" s="10">
        <f>MIN(DATE(YEAR($E$3),MONTH($E$3)+A242*$E$4,MIN($E$5,DAY(EOMONTH(DATE(YEAR($E$3),MONTH($E$3)+A242*$E$4,1),0)))),$B$6)</f>
        <v/>
      </c>
      <c r="C242" t="inlineStr">
        <is>
          <t>проценты, тело</t>
        </is>
      </c>
      <c r="D242">
        <f>B242-B241</f>
        <v/>
      </c>
      <c r="E242" s="11">
        <f>IF(YEAR(B241)=YEAR(B242),(B242-B241)/(DATE(YEAR(B241)+1,1,1)-DATE(YEAR(B241),1,1)),(DATE(YEAR(B241)+1,1,1)-B241)/(DATE(YEAR(B241)+1,1,1)-DATE(YEAR(B241),1,1))+(B242-DATE(YEAR(B242),1,1))/(DATE(YEAR(B242)+1,1,1)-DATE(YEAR(B242),1,1))+YEAR(B242)-YEAR(B241)-1)</f>
        <v/>
      </c>
      <c r="F242" s="8">
        <f>K241</f>
        <v/>
      </c>
      <c r="G242" s="7">
        <f>$B$10</f>
        <v/>
      </c>
      <c r="H242" s="8">
        <f>F242*G242*E242</f>
        <v/>
      </c>
      <c r="I242" s="8">
        <f>SUM(H242:H242)</f>
        <v/>
      </c>
      <c r="J242" s="8">
        <f>$B$14-I242</f>
        <v/>
      </c>
      <c r="K242" s="8">
        <f>F242-J242</f>
        <v/>
      </c>
    </row>
    <row r="243">
      <c r="A243" t="n">
        <v>247</v>
      </c>
      <c r="B243" s="10">
        <f>MIN(DATE(YEAR($E$3),MONTH($E$3)+A243*$E$4,MIN($E$5,DAY(EOMONTH(DATE(YEAR($E$3),MONTH($E$3)+A243*$E$4,1),0)))),$B$6)</f>
        <v/>
      </c>
      <c r="C243" t="inlineStr">
        <is>
          <t>проценты, тело</t>
        </is>
      </c>
      <c r="D243">
        <f>B243-B242</f>
        <v/>
      </c>
      <c r="E243" s="11">
        <f>IF(YEAR(B242)=YEAR(B243),(B243-B242)/(DATE(YEAR(B242)+1,1,1)-DATE(YEAR(B242),1,1)),(DATE(YEAR(B242)+1,1,1)-B242)/(DATE(YEAR(B242)+1,1,1)-DATE(YEAR(B242),1,1))+(B243-DATE(YEAR(B243),1,1))/(DATE(YEAR(B243)+1,1,1)-DATE(YEAR(B243),1,1))+YEAR(B243)-YEAR(B242)-1)</f>
        <v/>
      </c>
      <c r="F243" s="8">
        <f>K242</f>
        <v/>
      </c>
      <c r="G243" s="7">
        <f>$B$10</f>
        <v/>
      </c>
      <c r="H243" s="8">
        <f>F243*G243*E243</f>
        <v/>
      </c>
      <c r="I243" s="8">
        <f>SUM(H243:H243)</f>
        <v/>
      </c>
      <c r="J243" s="8">
        <f>$B$14-I243</f>
        <v/>
      </c>
      <c r="K243" s="8">
        <f>F243-J243</f>
        <v/>
      </c>
    </row>
    <row r="244">
      <c r="A244" t="n">
        <v>248</v>
      </c>
      <c r="B244" s="10">
        <f>MIN(DATE(YEAR($E$3),MONTH($E$3)+A244*$E$4,MIN($E$5,DAY(EOMONTH(DATE(YEAR($E$3),MONTH($E$3)+A244*$E$4,1),0)))),$B$6)</f>
        <v/>
      </c>
      <c r="C244" t="inlineStr">
        <is>
          <t>проценты, тело</t>
        </is>
      </c>
      <c r="D244">
        <f>B244-B243</f>
        <v/>
      </c>
      <c r="E244" s="11">
        <f>IF(YEAR(B243)=YEAR(B244),(B244-B243)/(DATE(YEAR(B243)+1,1,1)-DATE(YEAR(B243),1,1)),(DATE(YEAR(B243)+1,1,1)-B243)/(DATE(YEAR(B243)+1,1,1)-DATE(YEAR(B243),1,1))+(B244-DATE(YEAR(B244),1,1))/(DATE(YEAR(B244)+1,1,1)-DATE(YEAR(B244),1,1))+YEAR(B244)-YEAR(B243)-1)</f>
        <v/>
      </c>
      <c r="F244" s="8">
        <f>K243</f>
        <v/>
      </c>
      <c r="G244" s="7">
        <f>$B$10</f>
        <v/>
      </c>
      <c r="H244" s="8">
        <f>F244*G244*E244</f>
        <v/>
      </c>
      <c r="I244" s="8">
        <f>SUM(H244:H244)</f>
        <v/>
      </c>
      <c r="J244" s="8">
        <f>$B$14-I244</f>
        <v/>
      </c>
      <c r="K244" s="8">
        <f>F244-J244</f>
        <v/>
      </c>
    </row>
    <row r="245">
      <c r="A245" t="n">
        <v>249</v>
      </c>
      <c r="B245" s="10">
        <f>MIN(DATE(YEAR($E$3),MONTH($E$3)+A245*$E$4,MIN($E$5,DAY(EOMONTH(DATE(YEAR($E$3),MONTH($E$3)+A245*$E$4,1),0)))),$B$6)</f>
        <v/>
      </c>
      <c r="C245" t="inlineStr">
        <is>
          <t>проценты, тело</t>
        </is>
      </c>
      <c r="D245">
        <f>B245-B244</f>
        <v/>
      </c>
      <c r="E245" s="11">
        <f>IF(YEAR(B244)=YEAR(B245),(B245-B244)/(DATE(YEAR(B244)+1,1,1)-DATE(YEAR(B244),1,1)),(DATE(YEAR(B244)+1,1,1)-B244)/(DATE(YEAR(B244)+1,1,1)-DATE(YEAR(B244),1,1))+(B245-DATE(YEAR(B245),1,1))/(DATE(YEAR(B245)+1,1,1)-DATE(YEAR(B245),1,1))+YEAR(B245)-YEAR(B244)-1)</f>
        <v/>
      </c>
      <c r="F245" s="8">
        <f>K244</f>
        <v/>
      </c>
      <c r="G245" s="7">
        <f>$B$10</f>
        <v/>
      </c>
      <c r="H245" s="8">
        <f>F245*G245*E245</f>
        <v/>
      </c>
      <c r="I245" s="8">
        <f>SUM(H245:H245)</f>
        <v/>
      </c>
      <c r="J245" s="8">
        <f>$B$14-I245</f>
        <v/>
      </c>
      <c r="K245" s="8">
        <f>F245-J245</f>
        <v/>
      </c>
    </row>
    <row r="246">
      <c r="A246" t="n">
        <v>250</v>
      </c>
      <c r="B246" s="10">
        <f>MIN(DATE(YEAR($E$3),MONTH($E$3)+A246*$E$4,MIN($E$5,DAY(EOMONTH(DATE(YEAR($E$3),MONTH($E$3)+A246*$E$4,1),0)))),$B$6)</f>
        <v/>
      </c>
      <c r="C246" t="inlineStr">
        <is>
          <t>проценты, тело</t>
        </is>
      </c>
      <c r="D246">
        <f>B246-B245</f>
        <v/>
      </c>
      <c r="E246" s="11">
        <f>IF(YEAR(B245)=YEAR(B246),(B246-B245)/(DATE(YEAR(B245)+1,1,1)-DATE(YEAR(B245),1,1)),(DATE(YEAR(B245)+1,1,1)-B245)/(DATE(YEAR(B245)+1,1,1)-DATE(YEAR(B245),1,1))+(B246-DATE(YEAR(B246),1,1))/(DATE(YEAR(B246)+1,1,1)-DATE(YEAR(B246),1,1))+YEAR(B246)-YEAR(B245)-1)</f>
        <v/>
      </c>
      <c r="F246" s="8">
        <f>K245</f>
        <v/>
      </c>
      <c r="G246" s="7">
        <f>$B$10</f>
        <v/>
      </c>
      <c r="H246" s="8">
        <f>F246*G246*E246</f>
        <v/>
      </c>
      <c r="I246" s="8">
        <f>SUM(H246:H246)</f>
        <v/>
      </c>
      <c r="J246" s="8">
        <f>$B$14-I246</f>
        <v/>
      </c>
      <c r="K246" s="8">
        <f>F246-J246</f>
        <v/>
      </c>
    </row>
    <row r="247">
      <c r="A247" t="n">
        <v>251</v>
      </c>
      <c r="B247" s="10">
        <f>MIN(DATE(YEAR($E$3),MONTH($E$3)+A247*$E$4,MIN($E$5,DAY(EOMONTH(DATE(YEAR($E$3),MONTH($E$3)+A247*$E$4,1),0)))),$B$6)</f>
        <v/>
      </c>
      <c r="C247" t="inlineStr">
        <is>
          <t>проценты, тело</t>
        </is>
      </c>
      <c r="D247">
        <f>B247-B246</f>
        <v/>
      </c>
      <c r="E247" s="11">
        <f>IF(YEAR(B246)=YEAR(B247),(B247-B246)/(DATE(YEAR(B246)+1,1,1)-DATE(YEAR(B246),1,1)),(DATE(YEAR(B246)+1,1,1)-B246)/(DATE(YEAR(B246)+1,1,1)-DATE(YEAR(B246),1,1))+(B247-DATE(YEAR(B247),1,1))/(DATE(YEAR(B247)+1,1,1)-DATE(YEAR(B247),1,1))+YEAR(B247)-YEAR(B246)-1)</f>
        <v/>
      </c>
      <c r="F247" s="8">
        <f>K246</f>
        <v/>
      </c>
      <c r="G247" s="7">
        <f>$B$10</f>
        <v/>
      </c>
      <c r="H247" s="8">
        <f>F247*G247*E247</f>
        <v/>
      </c>
      <c r="I247" s="8">
        <f>SUM(H247:H247)</f>
        <v/>
      </c>
      <c r="J247" s="8">
        <f>$B$14-I247</f>
        <v/>
      </c>
      <c r="K247" s="8">
        <f>F247-J247</f>
        <v/>
      </c>
    </row>
    <row r="248">
      <c r="A248" t="n">
        <v>252</v>
      </c>
      <c r="B248" s="10">
        <f>MIN(DATE(YEAR($E$3),MONTH($E$3)+A248*$E$4,MIN($E$5,DAY(EOMONTH(DATE(YEAR($E$3),MONTH($E$3)+A248*$E$4,1),0)))),$B$6)</f>
        <v/>
      </c>
      <c r="C248" t="inlineStr">
        <is>
          <t>проценты, тело</t>
        </is>
      </c>
      <c r="D248">
        <f>B248-B247</f>
        <v/>
      </c>
      <c r="E248" s="11">
        <f>IF(YEAR(B247)=YEAR(B248),(B248-B247)/(DATE(YEAR(B247)+1,1,1)-DATE(YEAR(B247),1,1)),(DATE(YEAR(B247)+1,1,1)-B247)/(DATE(YEAR(B247)+1,1,1)-DATE(YEAR(B247),1,1))+(B248-DATE(YEAR(B248),1,1))/(DATE(YEAR(B248)+1,1,1)-DATE(YEAR(B248),1,1))+YEAR(B248)-YEAR(B247)-1)</f>
        <v/>
      </c>
      <c r="F248" s="8">
        <f>K247</f>
        <v/>
      </c>
      <c r="G248" s="7">
        <f>$B$10</f>
        <v/>
      </c>
      <c r="H248" s="8">
        <f>F248*G248*E248</f>
        <v/>
      </c>
      <c r="I248" s="8">
        <f>SUM(H248:H248)</f>
        <v/>
      </c>
      <c r="J248" s="8">
        <f>$B$14-I248</f>
        <v/>
      </c>
      <c r="K248" s="8">
        <f>F248-J248</f>
        <v/>
      </c>
    </row>
    <row r="249">
      <c r="A249" t="n">
        <v>253</v>
      </c>
      <c r="B249" s="10">
        <f>MIN(DATE(YEAR($E$3),MONTH($E$3)+A249*$E$4,MIN($E$5,DAY(EOMONTH(DATE(YEAR($E$3),MONTH($E$3)+A249*$E$4,1),0)))),$B$6)</f>
        <v/>
      </c>
      <c r="C249" t="inlineStr">
        <is>
          <t>проценты, тело</t>
        </is>
      </c>
      <c r="D249">
        <f>B249-B248</f>
        <v/>
      </c>
      <c r="E249" s="11">
        <f>IF(YEAR(B248)=YEAR(B249),(B249-B248)/(DATE(YEAR(B248)+1,1,1)-DATE(YEAR(B248),1,1)),(DATE(YEAR(B248)+1,1,1)-B248)/(DATE(YEAR(B248)+1,1,1)-DATE(YEAR(B248),1,1))+(B249-DATE(YEAR(B249),1,1))/(DATE(YEAR(B249)+1,1,1)-DATE(YEAR(B249),1,1))+YEAR(B249)-YEAR(B248)-1)</f>
        <v/>
      </c>
      <c r="F249" s="8">
        <f>K248</f>
        <v/>
      </c>
      <c r="G249" s="7">
        <f>$B$10</f>
        <v/>
      </c>
      <c r="H249" s="8">
        <f>F249*G249*E249</f>
        <v/>
      </c>
      <c r="I249" s="8">
        <f>SUM(H249:H249)</f>
        <v/>
      </c>
      <c r="J249" s="8">
        <f>$B$14-I249</f>
        <v/>
      </c>
      <c r="K249" s="8">
        <f>F249-J249</f>
        <v/>
      </c>
    </row>
    <row r="250">
      <c r="A250" t="n">
        <v>254</v>
      </c>
      <c r="B250" s="10">
        <f>MIN(DATE(YEAR($E$3),MONTH($E$3)+A250*$E$4,MIN($E$5,DAY(EOMONTH(DATE(YEAR($E$3),MONTH($E$3)+A250*$E$4,1),0)))),$B$6)</f>
        <v/>
      </c>
      <c r="C250" t="inlineStr">
        <is>
          <t>проценты, тело</t>
        </is>
      </c>
      <c r="D250">
        <f>B250-B249</f>
        <v/>
      </c>
      <c r="E250" s="11">
        <f>IF(YEAR(B249)=YEAR(B250),(B250-B249)/(DATE(YEAR(B249)+1,1,1)-DATE(YEAR(B249),1,1)),(DATE(YEAR(B249)+1,1,1)-B249)/(DATE(YEAR(B249)+1,1,1)-DATE(YEAR(B249),1,1))+(B250-DATE(YEAR(B250),1,1))/(DATE(YEAR(B250)+1,1,1)-DATE(YEAR(B250),1,1))+YEAR(B250)-YEAR(B249)-1)</f>
        <v/>
      </c>
      <c r="F250" s="8">
        <f>K249</f>
        <v/>
      </c>
      <c r="G250" s="7">
        <f>$B$10</f>
        <v/>
      </c>
      <c r="H250" s="8">
        <f>F250*G250*E250</f>
        <v/>
      </c>
      <c r="I250" s="8">
        <f>SUM(H250:H250)</f>
        <v/>
      </c>
      <c r="J250" s="8">
        <f>$B$14-I250</f>
        <v/>
      </c>
      <c r="K250" s="8">
        <f>F250-J250</f>
        <v/>
      </c>
    </row>
    <row r="251">
      <c r="A251" t="n">
        <v>255</v>
      </c>
      <c r="B251" s="10">
        <f>MIN(DATE(YEAR($E$3),MONTH($E$3)+A251*$E$4,MIN($E$5,DAY(EOMONTH(DATE(YEAR($E$3),MONTH($E$3)+A251*$E$4,1),0)))),$B$6)</f>
        <v/>
      </c>
      <c r="C251" t="inlineStr">
        <is>
          <t>проценты, тело</t>
        </is>
      </c>
      <c r="D251">
        <f>B251-B250</f>
        <v/>
      </c>
      <c r="E251" s="11">
        <f>IF(YEAR(B250)=YEAR(B251),(B251-B250)/(DATE(YEAR(B250)+1,1,1)-DATE(YEAR(B250),1,1)),(DATE(YEAR(B250)+1,1,1)-B250)/(DATE(YEAR(B250)+1,1,1)-DATE(YEAR(B250),1,1))+(B251-DATE(YEAR(B251),1,1))/(DATE(YEAR(B251)+1,1,1)-DATE(YEAR(B251),1,1))+YEAR(B251)-YEAR(B250)-1)</f>
        <v/>
      </c>
      <c r="F251" s="8">
        <f>K250</f>
        <v/>
      </c>
      <c r="G251" s="7">
        <f>$B$10</f>
        <v/>
      </c>
      <c r="H251" s="8">
        <f>F251*G251*E251</f>
        <v/>
      </c>
      <c r="I251" s="8">
        <f>SUM(H251:H251)</f>
        <v/>
      </c>
      <c r="J251" s="8">
        <f>$B$14-I251</f>
        <v/>
      </c>
      <c r="K251" s="8">
        <f>F251-J251</f>
        <v/>
      </c>
    </row>
    <row r="252">
      <c r="A252" t="n">
        <v>256</v>
      </c>
      <c r="B252" s="10">
        <f>MIN(DATE(YEAR($E$3),MONTH($E$3)+A252*$E$4,MIN($E$5,DAY(EOMONTH(DATE(YEAR($E$3),MONTH($E$3)+A252*$E$4,1),0)))),$B$6)</f>
        <v/>
      </c>
      <c r="C252" t="inlineStr">
        <is>
          <t>проценты, тело</t>
        </is>
      </c>
      <c r="D252">
        <f>B252-B251</f>
        <v/>
      </c>
      <c r="E252" s="11">
        <f>IF(YEAR(B251)=YEAR(B252),(B252-B251)/(DATE(YEAR(B251)+1,1,1)-DATE(YEAR(B251),1,1)),(DATE(YEAR(B251)+1,1,1)-B251)/(DATE(YEAR(B251)+1,1,1)-DATE(YEAR(B251),1,1))+(B252-DATE(YEAR(B252),1,1))/(DATE(YEAR(B252)+1,1,1)-DATE(YEAR(B252),1,1))+YEAR(B252)-YEAR(B251)-1)</f>
        <v/>
      </c>
      <c r="F252" s="8">
        <f>K251</f>
        <v/>
      </c>
      <c r="G252" s="7">
        <f>$B$10</f>
        <v/>
      </c>
      <c r="H252" s="8">
        <f>F252*G252*E252</f>
        <v/>
      </c>
      <c r="I252" s="8">
        <f>SUM(H252:H252)</f>
        <v/>
      </c>
      <c r="J252" s="8">
        <f>$B$14-I252</f>
        <v/>
      </c>
      <c r="K252" s="8">
        <f>F252-J252</f>
        <v/>
      </c>
    </row>
    <row r="253">
      <c r="A253" t="n">
        <v>257</v>
      </c>
      <c r="B253" s="10">
        <f>MIN(DATE(YEAR($E$3),MONTH($E$3)+A253*$E$4,MIN($E$5,DAY(EOMONTH(DATE(YEAR($E$3),MONTH($E$3)+A253*$E$4,1),0)))),$B$6)</f>
        <v/>
      </c>
      <c r="C253" t="inlineStr">
        <is>
          <t>проценты, тело</t>
        </is>
      </c>
      <c r="D253">
        <f>B253-B252</f>
        <v/>
      </c>
      <c r="E253" s="11">
        <f>IF(YEAR(B252)=YEAR(B253),(B253-B252)/(DATE(YEAR(B252)+1,1,1)-DATE(YEAR(B252),1,1)),(DATE(YEAR(B252)+1,1,1)-B252)/(DATE(YEAR(B252)+1,1,1)-DATE(YEAR(B252),1,1))+(B253-DATE(YEAR(B253),1,1))/(DATE(YEAR(B253)+1,1,1)-DATE(YEAR(B253),1,1))+YEAR(B253)-YEAR(B252)-1)</f>
        <v/>
      </c>
      <c r="F253" s="8">
        <f>K252</f>
        <v/>
      </c>
      <c r="G253" s="7">
        <f>$B$10</f>
        <v/>
      </c>
      <c r="H253" s="8">
        <f>F253*G253*E253</f>
        <v/>
      </c>
      <c r="I253" s="8">
        <f>SUM(H253:H253)</f>
        <v/>
      </c>
      <c r="J253" s="8">
        <f>$B$14-I253</f>
        <v/>
      </c>
      <c r="K253" s="8">
        <f>F253-J253</f>
        <v/>
      </c>
    </row>
    <row r="254">
      <c r="A254" t="n">
        <v>258</v>
      </c>
      <c r="B254" s="10">
        <f>MIN(DATE(YEAR($E$3),MONTH($E$3)+A254*$E$4,MIN($E$5,DAY(EOMONTH(DATE(YEAR($E$3),MONTH($E$3)+A254*$E$4,1),0)))),$B$6)</f>
        <v/>
      </c>
      <c r="C254" t="inlineStr">
        <is>
          <t>проценты, тело</t>
        </is>
      </c>
      <c r="D254">
        <f>B254-B253</f>
        <v/>
      </c>
      <c r="E254" s="11">
        <f>IF(YEAR(B253)=YEAR(B254),(B254-B253)/(DATE(YEAR(B253)+1,1,1)-DATE(YEAR(B253),1,1)),(DATE(YEAR(B253)+1,1,1)-B253)/(DATE(YEAR(B253)+1,1,1)-DATE(YEAR(B253),1,1))+(B254-DATE(YEAR(B254),1,1))/(DATE(YEAR(B254)+1,1,1)-DATE(YEAR(B254),1,1))+YEAR(B254)-YEAR(B253)-1)</f>
        <v/>
      </c>
      <c r="F254" s="8">
        <f>K253</f>
        <v/>
      </c>
      <c r="G254" s="7">
        <f>$B$10</f>
        <v/>
      </c>
      <c r="H254" s="8">
        <f>F254*G254*E254</f>
        <v/>
      </c>
      <c r="I254" s="8">
        <f>SUM(H254:H254)</f>
        <v/>
      </c>
      <c r="J254" s="8">
        <f>$B$14-I254</f>
        <v/>
      </c>
      <c r="K254" s="8">
        <f>F254-J254</f>
        <v/>
      </c>
    </row>
    <row r="255">
      <c r="A255" t="n">
        <v>259</v>
      </c>
      <c r="B255" s="10">
        <f>MIN(DATE(YEAR($E$3),MONTH($E$3)+A255*$E$4,MIN($E$5,DAY(EOMONTH(DATE(YEAR($E$3),MONTH($E$3)+A255*$E$4,1),0)))),$B$6)</f>
        <v/>
      </c>
      <c r="C255" t="inlineStr">
        <is>
          <t>проценты, тело</t>
        </is>
      </c>
      <c r="D255">
        <f>B255-B254</f>
        <v/>
      </c>
      <c r="E255" s="11">
        <f>IF(YEAR(B254)=YEAR(B255),(B255-B254)/(DATE(YEAR(B254)+1,1,1)-DATE(YEAR(B254),1,1)),(DATE(YEAR(B254)+1,1,1)-B254)/(DATE(YEAR(B254)+1,1,1)-DATE(YEAR(B254),1,1))+(B255-DATE(YEAR(B255),1,1))/(DATE(YEAR(B255)+1,1,1)-DATE(YEAR(B255),1,1))+YEAR(B255)-YEAR(B254)-1)</f>
        <v/>
      </c>
      <c r="F255" s="8">
        <f>K254</f>
        <v/>
      </c>
      <c r="G255" s="7">
        <f>$B$10</f>
        <v/>
      </c>
      <c r="H255" s="8">
        <f>F255*G255*E255</f>
        <v/>
      </c>
      <c r="I255" s="8">
        <f>SUM(H255:H255)</f>
        <v/>
      </c>
      <c r="J255" s="8">
        <f>$B$14-I255</f>
        <v/>
      </c>
      <c r="K255" s="8">
        <f>F255-J255</f>
        <v/>
      </c>
    </row>
    <row r="256">
      <c r="A256" t="n">
        <v>260</v>
      </c>
      <c r="B256" s="10">
        <f>MIN(DATE(YEAR($E$3),MONTH($E$3)+A256*$E$4,MIN($E$5,DAY(EOMONTH(DATE(YEAR($E$3),MONTH($E$3)+A256*$E$4,1),0)))),$B$6)</f>
        <v/>
      </c>
      <c r="C256" t="inlineStr">
        <is>
          <t>проценты, тело</t>
        </is>
      </c>
      <c r="D256">
        <f>B256-B255</f>
        <v/>
      </c>
      <c r="E256" s="11">
        <f>IF(YEAR(B255)=YEAR(B256),(B256-B255)/(DATE(YEAR(B255)+1,1,1)-DATE(YEAR(B255),1,1)),(DATE(YEAR(B255)+1,1,1)-B255)/(DATE(YEAR(B255)+1,1,1)-DATE(YEAR(B255),1,1))+(B256-DATE(YEAR(B256),1,1))/(DATE(YEAR(B256)+1,1,1)-DATE(YEAR(B256),1,1))+YEAR(B256)-YEAR(B255)-1)</f>
        <v/>
      </c>
      <c r="F256" s="8">
        <f>K255</f>
        <v/>
      </c>
      <c r="G256" s="7">
        <f>$B$10</f>
        <v/>
      </c>
      <c r="H256" s="8">
        <f>F256*G256*E256</f>
        <v/>
      </c>
      <c r="I256" s="8">
        <f>SUM(H256:H256)</f>
        <v/>
      </c>
      <c r="J256" s="8">
        <f>$B$14-I256</f>
        <v/>
      </c>
      <c r="K256" s="8">
        <f>F256-J256</f>
        <v/>
      </c>
    </row>
    <row r="257">
      <c r="A257" t="n">
        <v>261</v>
      </c>
      <c r="B257" s="10">
        <f>MIN(DATE(YEAR($E$3),MONTH($E$3)+A257*$E$4,MIN($E$5,DAY(EOMONTH(DATE(YEAR($E$3),MONTH($E$3)+A257*$E$4,1),0)))),$B$6)</f>
        <v/>
      </c>
      <c r="C257" t="inlineStr">
        <is>
          <t>проценты, тело</t>
        </is>
      </c>
      <c r="D257">
        <f>B257-B256</f>
        <v/>
      </c>
      <c r="E257" s="11">
        <f>IF(YEAR(B256)=YEAR(B257),(B257-B256)/(DATE(YEAR(B256)+1,1,1)-DATE(YEAR(B256),1,1)),(DATE(YEAR(B256)+1,1,1)-B256)/(DATE(YEAR(B256)+1,1,1)-DATE(YEAR(B256),1,1))+(B257-DATE(YEAR(B257),1,1))/(DATE(YEAR(B257)+1,1,1)-DATE(YEAR(B257),1,1))+YEAR(B257)-YEAR(B256)-1)</f>
        <v/>
      </c>
      <c r="F257" s="8">
        <f>K256</f>
        <v/>
      </c>
      <c r="G257" s="7">
        <f>$B$10</f>
        <v/>
      </c>
      <c r="H257" s="8">
        <f>F257*G257*E257</f>
        <v/>
      </c>
      <c r="I257" s="8">
        <f>SUM(H257:H257)</f>
        <v/>
      </c>
      <c r="J257" s="8">
        <f>$B$14-I257</f>
        <v/>
      </c>
      <c r="K257" s="8">
        <f>F257-J257</f>
        <v/>
      </c>
    </row>
    <row r="258">
      <c r="A258" t="n">
        <v>262</v>
      </c>
      <c r="B258" s="10">
        <f>MIN(DATE(YEAR($E$3),MONTH($E$3)+A258*$E$4,MIN($E$5,DAY(EOMONTH(DATE(YEAR($E$3),MONTH($E$3)+A258*$E$4,1),0)))),$B$6)</f>
        <v/>
      </c>
      <c r="C258" t="inlineStr">
        <is>
          <t>проценты, тело</t>
        </is>
      </c>
      <c r="D258">
        <f>B258-B257</f>
        <v/>
      </c>
      <c r="E258" s="11">
        <f>IF(YEAR(B257)=YEAR(B258),(B258-B257)/(DATE(YEAR(B257)+1,1,1)-DATE(YEAR(B257),1,1)),(DATE(YEAR(B257)+1,1,1)-B257)/(DATE(YEAR(B257)+1,1,1)-DATE(YEAR(B257),1,1))+(B258-DATE(YEAR(B258),1,1))/(DATE(YEAR(B258)+1,1,1)-DATE(YEAR(B258),1,1))+YEAR(B258)-YEAR(B257)-1)</f>
        <v/>
      </c>
      <c r="F258" s="8">
        <f>K257</f>
        <v/>
      </c>
      <c r="G258" s="7">
        <f>$B$10</f>
        <v/>
      </c>
      <c r="H258" s="8">
        <f>F258*G258*E258</f>
        <v/>
      </c>
      <c r="I258" s="8">
        <f>SUM(H258:H258)</f>
        <v/>
      </c>
      <c r="J258" s="8">
        <f>$B$14-I258</f>
        <v/>
      </c>
      <c r="K258" s="8">
        <f>F258-J258</f>
        <v/>
      </c>
    </row>
    <row r="259">
      <c r="A259" t="n">
        <v>263</v>
      </c>
      <c r="B259" s="10">
        <f>MIN(DATE(YEAR($E$3),MONTH($E$3)+A259*$E$4,MIN($E$5,DAY(EOMONTH(DATE(YEAR($E$3),MONTH($E$3)+A259*$E$4,1),0)))),$B$6)</f>
        <v/>
      </c>
      <c r="C259" t="inlineStr">
        <is>
          <t>проценты, тело</t>
        </is>
      </c>
      <c r="D259">
        <f>B259-B258</f>
        <v/>
      </c>
      <c r="E259" s="11">
        <f>IF(YEAR(B258)=YEAR(B259),(B259-B258)/(DATE(YEAR(B258)+1,1,1)-DATE(YEAR(B258),1,1)),(DATE(YEAR(B258)+1,1,1)-B258)/(DATE(YEAR(B258)+1,1,1)-DATE(YEAR(B258),1,1))+(B259-DATE(YEAR(B259),1,1))/(DATE(YEAR(B259)+1,1,1)-DATE(YEAR(B259),1,1))+YEAR(B259)-YEAR(B258)-1)</f>
        <v/>
      </c>
      <c r="F259" s="8">
        <f>K258</f>
        <v/>
      </c>
      <c r="G259" s="7">
        <f>$B$10</f>
        <v/>
      </c>
      <c r="H259" s="8">
        <f>F259*G259*E259</f>
        <v/>
      </c>
      <c r="I259" s="8">
        <f>SUM(H259:H259)</f>
        <v/>
      </c>
      <c r="J259" s="8">
        <f>$B$14-I259</f>
        <v/>
      </c>
      <c r="K259" s="8">
        <f>F259-J259</f>
        <v/>
      </c>
    </row>
    <row r="260">
      <c r="A260" t="n">
        <v>264</v>
      </c>
      <c r="B260" s="10">
        <f>MIN(DATE(YEAR($E$3),MONTH($E$3)+A260*$E$4,MIN($E$5,DAY(EOMONTH(DATE(YEAR($E$3),MONTH($E$3)+A260*$E$4,1),0)))),$B$6)</f>
        <v/>
      </c>
      <c r="C260" t="inlineStr">
        <is>
          <t>проценты, тело</t>
        </is>
      </c>
      <c r="D260">
        <f>B260-B259</f>
        <v/>
      </c>
      <c r="E260" s="11">
        <f>IF(YEAR(B259)=YEAR(B260),(B260-B259)/(DATE(YEAR(B259)+1,1,1)-DATE(YEAR(B259),1,1)),(DATE(YEAR(B259)+1,1,1)-B259)/(DATE(YEAR(B259)+1,1,1)-DATE(YEAR(B259),1,1))+(B260-DATE(YEAR(B260),1,1))/(DATE(YEAR(B260)+1,1,1)-DATE(YEAR(B260),1,1))+YEAR(B260)-YEAR(B259)-1)</f>
        <v/>
      </c>
      <c r="F260" s="8">
        <f>K259</f>
        <v/>
      </c>
      <c r="G260" s="7">
        <f>$B$10</f>
        <v/>
      </c>
      <c r="H260" s="8">
        <f>F260*G260*E260</f>
        <v/>
      </c>
      <c r="I260" s="8">
        <f>SUM(H260:H260)</f>
        <v/>
      </c>
      <c r="J260" s="8">
        <f>$B$14-I260</f>
        <v/>
      </c>
      <c r="K260" s="8">
        <f>F260-J260</f>
        <v/>
      </c>
    </row>
    <row r="261">
      <c r="A261" t="n">
        <v>265</v>
      </c>
      <c r="B261" s="10">
        <f>MIN(DATE(YEAR($E$3),MONTH($E$3)+A261*$E$4,MIN($E$5,DAY(EOMONTH(DATE(YEAR($E$3),MONTH($E$3)+A261*$E$4,1),0)))),$B$6)</f>
        <v/>
      </c>
      <c r="C261" t="inlineStr">
        <is>
          <t>проценты, тело</t>
        </is>
      </c>
      <c r="D261">
        <f>B261-B260</f>
        <v/>
      </c>
      <c r="E261" s="11">
        <f>IF(YEAR(B260)=YEAR(B261),(B261-B260)/(DATE(YEAR(B260)+1,1,1)-DATE(YEAR(B260),1,1)),(DATE(YEAR(B260)+1,1,1)-B260)/(DATE(YEAR(B260)+1,1,1)-DATE(YEAR(B260),1,1))+(B261-DATE(YEAR(B261),1,1))/(DATE(YEAR(B261)+1,1,1)-DATE(YEAR(B261),1,1))+YEAR(B261)-YEAR(B260)-1)</f>
        <v/>
      </c>
      <c r="F261" s="8">
        <f>K260</f>
        <v/>
      </c>
      <c r="G261" s="7">
        <f>$B$10</f>
        <v/>
      </c>
      <c r="H261" s="8">
        <f>F261*G261*E261</f>
        <v/>
      </c>
      <c r="I261" s="8">
        <f>SUM(H261:H261)</f>
        <v/>
      </c>
      <c r="J261" s="8">
        <f>$B$14-I261</f>
        <v/>
      </c>
      <c r="K261" s="8">
        <f>F261-J261</f>
        <v/>
      </c>
    </row>
    <row r="262">
      <c r="A262" t="n">
        <v>266</v>
      </c>
      <c r="B262" s="10">
        <f>MIN(DATE(YEAR($E$3),MONTH($E$3)+A262*$E$4,MIN($E$5,DAY(EOMONTH(DATE(YEAR($E$3),MONTH($E$3)+A262*$E$4,1),0)))),$B$6)</f>
        <v/>
      </c>
      <c r="C262" t="inlineStr">
        <is>
          <t>проценты, тело</t>
        </is>
      </c>
      <c r="D262">
        <f>B262-B261</f>
        <v/>
      </c>
      <c r="E262" s="11">
        <f>IF(YEAR(B261)=YEAR(B262),(B262-B261)/(DATE(YEAR(B261)+1,1,1)-DATE(YEAR(B261),1,1)),(DATE(YEAR(B261)+1,1,1)-B261)/(DATE(YEAR(B261)+1,1,1)-DATE(YEAR(B261),1,1))+(B262-DATE(YEAR(B262),1,1))/(DATE(YEAR(B262)+1,1,1)-DATE(YEAR(B262),1,1))+YEAR(B262)-YEAR(B261)-1)</f>
        <v/>
      </c>
      <c r="F262" s="8">
        <f>K261</f>
        <v/>
      </c>
      <c r="G262" s="7">
        <f>$B$10</f>
        <v/>
      </c>
      <c r="H262" s="8">
        <f>F262*G262*E262</f>
        <v/>
      </c>
      <c r="I262" s="8">
        <f>SUM(H262:H262)</f>
        <v/>
      </c>
      <c r="J262" s="8">
        <f>$B$14-I262</f>
        <v/>
      </c>
      <c r="K262" s="8">
        <f>F262-J262</f>
        <v/>
      </c>
    </row>
    <row r="263">
      <c r="A263" t="n">
        <v>267</v>
      </c>
      <c r="B263" s="10">
        <f>MIN(DATE(YEAR($E$3),MONTH($E$3)+A263*$E$4,MIN($E$5,DAY(EOMONTH(DATE(YEAR($E$3),MONTH($E$3)+A263*$E$4,1),0)))),$B$6)</f>
        <v/>
      </c>
      <c r="C263" t="inlineStr">
        <is>
          <t>проценты, тело</t>
        </is>
      </c>
      <c r="D263">
        <f>B263-B262</f>
        <v/>
      </c>
      <c r="E263" s="11">
        <f>IF(YEAR(B262)=YEAR(B263),(B263-B262)/(DATE(YEAR(B262)+1,1,1)-DATE(YEAR(B262),1,1)),(DATE(YEAR(B262)+1,1,1)-B262)/(DATE(YEAR(B262)+1,1,1)-DATE(YEAR(B262),1,1))+(B263-DATE(YEAR(B263),1,1))/(DATE(YEAR(B263)+1,1,1)-DATE(YEAR(B263),1,1))+YEAR(B263)-YEAR(B262)-1)</f>
        <v/>
      </c>
      <c r="F263" s="8">
        <f>K262</f>
        <v/>
      </c>
      <c r="G263" s="7">
        <f>$B$10</f>
        <v/>
      </c>
      <c r="H263" s="8">
        <f>F263*G263*E263</f>
        <v/>
      </c>
      <c r="I263" s="8">
        <f>SUM(H263:H263)</f>
        <v/>
      </c>
      <c r="J263" s="8">
        <f>$B$14-I263</f>
        <v/>
      </c>
      <c r="K263" s="8">
        <f>F263-J263</f>
        <v/>
      </c>
    </row>
    <row r="264">
      <c r="A264" t="n">
        <v>268</v>
      </c>
      <c r="B264" s="10">
        <f>MIN(DATE(YEAR($E$3),MONTH($E$3)+A264*$E$4,MIN($E$5,DAY(EOMONTH(DATE(YEAR($E$3),MONTH($E$3)+A264*$E$4,1),0)))),$B$6)</f>
        <v/>
      </c>
      <c r="C264" t="inlineStr">
        <is>
          <t>проценты, тело</t>
        </is>
      </c>
      <c r="D264">
        <f>B264-B263</f>
        <v/>
      </c>
      <c r="E264" s="11">
        <f>IF(YEAR(B263)=YEAR(B264),(B264-B263)/(DATE(YEAR(B263)+1,1,1)-DATE(YEAR(B263),1,1)),(DATE(YEAR(B263)+1,1,1)-B263)/(DATE(YEAR(B263)+1,1,1)-DATE(YEAR(B263),1,1))+(B264-DATE(YEAR(B264),1,1))/(DATE(YEAR(B264)+1,1,1)-DATE(YEAR(B264),1,1))+YEAR(B264)-YEAR(B263)-1)</f>
        <v/>
      </c>
      <c r="F264" s="8">
        <f>K263</f>
        <v/>
      </c>
      <c r="G264" s="7">
        <f>$B$10</f>
        <v/>
      </c>
      <c r="H264" s="8">
        <f>F264*G264*E264</f>
        <v/>
      </c>
      <c r="I264" s="8">
        <f>SUM(H264:H264)</f>
        <v/>
      </c>
      <c r="J264" s="8">
        <f>$B$14-I264</f>
        <v/>
      </c>
      <c r="K264" s="8">
        <f>F264-J264</f>
        <v/>
      </c>
    </row>
    <row r="265">
      <c r="A265" t="n">
        <v>269</v>
      </c>
      <c r="B265" s="10">
        <f>MIN(DATE(YEAR($E$3),MONTH($E$3)+A265*$E$4,MIN($E$5,DAY(EOMONTH(DATE(YEAR($E$3),MONTH($E$3)+A265*$E$4,1),0)))),$B$6)</f>
        <v/>
      </c>
      <c r="C265" t="inlineStr">
        <is>
          <t>проценты, тело</t>
        </is>
      </c>
      <c r="D265">
        <f>B265-B264</f>
        <v/>
      </c>
      <c r="E265" s="11">
        <f>IF(YEAR(B264)=YEAR(B265),(B265-B264)/(DATE(YEAR(B264)+1,1,1)-DATE(YEAR(B264),1,1)),(DATE(YEAR(B264)+1,1,1)-B264)/(DATE(YEAR(B264)+1,1,1)-DATE(YEAR(B264),1,1))+(B265-DATE(YEAR(B265),1,1))/(DATE(YEAR(B265)+1,1,1)-DATE(YEAR(B265),1,1))+YEAR(B265)-YEAR(B264)-1)</f>
        <v/>
      </c>
      <c r="F265" s="8">
        <f>K264</f>
        <v/>
      </c>
      <c r="G265" s="7">
        <f>$B$10</f>
        <v/>
      </c>
      <c r="H265" s="8">
        <f>F265*G265*E265</f>
        <v/>
      </c>
      <c r="I265" s="8">
        <f>SUM(H265:H265)</f>
        <v/>
      </c>
      <c r="J265" s="8">
        <f>$B$14-I265</f>
        <v/>
      </c>
      <c r="K265" s="8">
        <f>F265-J265</f>
        <v/>
      </c>
    </row>
    <row r="266">
      <c r="A266" t="n">
        <v>270</v>
      </c>
      <c r="B266" s="10">
        <f>MIN(DATE(YEAR($E$3),MONTH($E$3)+A266*$E$4,MIN($E$5,DAY(EOMONTH(DATE(YEAR($E$3),MONTH($E$3)+A266*$E$4,1),0)))),$B$6)</f>
        <v/>
      </c>
      <c r="C266" t="inlineStr">
        <is>
          <t>проценты, тело</t>
        </is>
      </c>
      <c r="D266">
        <f>B266-B265</f>
        <v/>
      </c>
      <c r="E266" s="11">
        <f>IF(YEAR(B265)=YEAR(B266),(B266-B265)/(DATE(YEAR(B265)+1,1,1)-DATE(YEAR(B265),1,1)),(DATE(YEAR(B265)+1,1,1)-B265)/(DATE(YEAR(B265)+1,1,1)-DATE(YEAR(B265),1,1))+(B266-DATE(YEAR(B266),1,1))/(DATE(YEAR(B266)+1,1,1)-DATE(YEAR(B266),1,1))+YEAR(B266)-YEAR(B265)-1)</f>
        <v/>
      </c>
      <c r="F266" s="8">
        <f>K265</f>
        <v/>
      </c>
      <c r="G266" s="7">
        <f>$B$10</f>
        <v/>
      </c>
      <c r="H266" s="8">
        <f>F266*G266*E266</f>
        <v/>
      </c>
      <c r="I266" s="8">
        <f>SUM(H266:H266)</f>
        <v/>
      </c>
      <c r="J266" s="8">
        <f>$B$14-I266</f>
        <v/>
      </c>
      <c r="K266" s="8">
        <f>F266-J266</f>
        <v/>
      </c>
    </row>
    <row r="267">
      <c r="A267" t="n">
        <v>271</v>
      </c>
      <c r="B267" s="10">
        <f>MIN(DATE(YEAR($E$3),MONTH($E$3)+A267*$E$4,MIN($E$5,DAY(EOMONTH(DATE(YEAR($E$3),MONTH($E$3)+A267*$E$4,1),0)))),$B$6)</f>
        <v/>
      </c>
      <c r="C267" t="inlineStr">
        <is>
          <t>проценты, тело</t>
        </is>
      </c>
      <c r="D267">
        <f>B267-B266</f>
        <v/>
      </c>
      <c r="E267" s="11">
        <f>IF(YEAR(B266)=YEAR(B267),(B267-B266)/(DATE(YEAR(B266)+1,1,1)-DATE(YEAR(B266),1,1)),(DATE(YEAR(B266)+1,1,1)-B266)/(DATE(YEAR(B266)+1,1,1)-DATE(YEAR(B266),1,1))+(B267-DATE(YEAR(B267),1,1))/(DATE(YEAR(B267)+1,1,1)-DATE(YEAR(B267),1,1))+YEAR(B267)-YEAR(B266)-1)</f>
        <v/>
      </c>
      <c r="F267" s="8">
        <f>K266</f>
        <v/>
      </c>
      <c r="G267" s="7">
        <f>$B$10</f>
        <v/>
      </c>
      <c r="H267" s="8">
        <f>F267*G267*E267</f>
        <v/>
      </c>
      <c r="I267" s="8">
        <f>SUM(H267:H267)</f>
        <v/>
      </c>
      <c r="J267" s="8">
        <f>$B$14-I267</f>
        <v/>
      </c>
      <c r="K267" s="8">
        <f>F267-J267</f>
        <v/>
      </c>
    </row>
    <row r="268">
      <c r="A268" t="n">
        <v>272</v>
      </c>
      <c r="B268" s="10">
        <f>MIN(DATE(YEAR($E$3),MONTH($E$3)+A268*$E$4,MIN($E$5,DAY(EOMONTH(DATE(YEAR($E$3),MONTH($E$3)+A268*$E$4,1),0)))),$B$6)</f>
        <v/>
      </c>
      <c r="C268" t="inlineStr">
        <is>
          <t>проценты, тело</t>
        </is>
      </c>
      <c r="D268">
        <f>B268-B267</f>
        <v/>
      </c>
      <c r="E268" s="11">
        <f>IF(YEAR(B267)=YEAR(B268),(B268-B267)/(DATE(YEAR(B267)+1,1,1)-DATE(YEAR(B267),1,1)),(DATE(YEAR(B267)+1,1,1)-B267)/(DATE(YEAR(B267)+1,1,1)-DATE(YEAR(B267),1,1))+(B268-DATE(YEAR(B268),1,1))/(DATE(YEAR(B268)+1,1,1)-DATE(YEAR(B268),1,1))+YEAR(B268)-YEAR(B267)-1)</f>
        <v/>
      </c>
      <c r="F268" s="8">
        <f>K267</f>
        <v/>
      </c>
      <c r="G268" s="7">
        <f>$B$10</f>
        <v/>
      </c>
      <c r="H268" s="8">
        <f>F268*G268*E268</f>
        <v/>
      </c>
      <c r="I268" s="8">
        <f>SUM(H268:H268)</f>
        <v/>
      </c>
      <c r="J268" s="8">
        <f>$B$14-I268</f>
        <v/>
      </c>
      <c r="K268" s="8">
        <f>F268-J268</f>
        <v/>
      </c>
    </row>
    <row r="269">
      <c r="A269" t="n">
        <v>273</v>
      </c>
      <c r="B269" s="10">
        <f>MIN(DATE(YEAR($E$3),MONTH($E$3)+A269*$E$4,MIN($E$5,DAY(EOMONTH(DATE(YEAR($E$3),MONTH($E$3)+A269*$E$4,1),0)))),$B$6)</f>
        <v/>
      </c>
      <c r="C269" t="inlineStr">
        <is>
          <t>проценты, тело</t>
        </is>
      </c>
      <c r="D269">
        <f>B269-B268</f>
        <v/>
      </c>
      <c r="E269" s="11">
        <f>IF(YEAR(B268)=YEAR(B269),(B269-B268)/(DATE(YEAR(B268)+1,1,1)-DATE(YEAR(B268),1,1)),(DATE(YEAR(B268)+1,1,1)-B268)/(DATE(YEAR(B268)+1,1,1)-DATE(YEAR(B268),1,1))+(B269-DATE(YEAR(B269),1,1))/(DATE(YEAR(B269)+1,1,1)-DATE(YEAR(B269),1,1))+YEAR(B269)-YEAR(B268)-1)</f>
        <v/>
      </c>
      <c r="F269" s="8">
        <f>K268</f>
        <v/>
      </c>
      <c r="G269" s="7">
        <f>$B$10</f>
        <v/>
      </c>
      <c r="H269" s="8">
        <f>F269*G269*E269</f>
        <v/>
      </c>
      <c r="I269" s="8">
        <f>SUM(H269:H269)</f>
        <v/>
      </c>
      <c r="J269" s="8">
        <f>$B$14-I269</f>
        <v/>
      </c>
      <c r="K269" s="8">
        <f>F269-J269</f>
        <v/>
      </c>
    </row>
    <row r="270">
      <c r="A270" t="n">
        <v>274</v>
      </c>
      <c r="B270" s="10">
        <f>MIN(DATE(YEAR($E$3),MONTH($E$3)+A270*$E$4,MIN($E$5,DAY(EOMONTH(DATE(YEAR($E$3),MONTH($E$3)+A270*$E$4,1),0)))),$B$6)</f>
        <v/>
      </c>
      <c r="C270" t="inlineStr">
        <is>
          <t>проценты, тело</t>
        </is>
      </c>
      <c r="D270">
        <f>B270-B269</f>
        <v/>
      </c>
      <c r="E270" s="11">
        <f>IF(YEAR(B269)=YEAR(B270),(B270-B269)/(DATE(YEAR(B269)+1,1,1)-DATE(YEAR(B269),1,1)),(DATE(YEAR(B269)+1,1,1)-B269)/(DATE(YEAR(B269)+1,1,1)-DATE(YEAR(B269),1,1))+(B270-DATE(YEAR(B270),1,1))/(DATE(YEAR(B270)+1,1,1)-DATE(YEAR(B270),1,1))+YEAR(B270)-YEAR(B269)-1)</f>
        <v/>
      </c>
      <c r="F270" s="8">
        <f>K269</f>
        <v/>
      </c>
      <c r="G270" s="7">
        <f>$B$10</f>
        <v/>
      </c>
      <c r="H270" s="8">
        <f>F270*G270*E270</f>
        <v/>
      </c>
      <c r="I270" s="8">
        <f>SUM(H270:H270)</f>
        <v/>
      </c>
      <c r="J270" s="8">
        <f>$B$14-I270</f>
        <v/>
      </c>
      <c r="K270" s="8">
        <f>F270-J270</f>
        <v/>
      </c>
    </row>
    <row r="271">
      <c r="A271" t="n">
        <v>275</v>
      </c>
      <c r="B271" s="10">
        <f>MIN(DATE(YEAR($E$3),MONTH($E$3)+A271*$E$4,MIN($E$5,DAY(EOMONTH(DATE(YEAR($E$3),MONTH($E$3)+A271*$E$4,1),0)))),$B$6)</f>
        <v/>
      </c>
      <c r="C271" t="inlineStr">
        <is>
          <t>проценты, тело</t>
        </is>
      </c>
      <c r="D271">
        <f>B271-B270</f>
        <v/>
      </c>
      <c r="E271" s="11">
        <f>IF(YEAR(B270)=YEAR(B271),(B271-B270)/(DATE(YEAR(B270)+1,1,1)-DATE(YEAR(B270),1,1)),(DATE(YEAR(B270)+1,1,1)-B270)/(DATE(YEAR(B270)+1,1,1)-DATE(YEAR(B270),1,1))+(B271-DATE(YEAR(B271),1,1))/(DATE(YEAR(B271)+1,1,1)-DATE(YEAR(B271),1,1))+YEAR(B271)-YEAR(B270)-1)</f>
        <v/>
      </c>
      <c r="F271" s="8">
        <f>K270</f>
        <v/>
      </c>
      <c r="G271" s="7">
        <f>$B$10</f>
        <v/>
      </c>
      <c r="H271" s="8">
        <f>F271*G271*E271</f>
        <v/>
      </c>
      <c r="I271" s="8">
        <f>SUM(H271:H271)</f>
        <v/>
      </c>
      <c r="J271" s="8">
        <f>$B$14-I271</f>
        <v/>
      </c>
      <c r="K271" s="8">
        <f>F271-J271</f>
        <v/>
      </c>
    </row>
    <row r="272">
      <c r="A272" t="n">
        <v>276</v>
      </c>
      <c r="B272" s="10">
        <f>MIN(DATE(YEAR($E$3),MONTH($E$3)+A272*$E$4,MIN($E$5,DAY(EOMONTH(DATE(YEAR($E$3),MONTH($E$3)+A272*$E$4,1),0)))),$B$6)</f>
        <v/>
      </c>
      <c r="C272" t="inlineStr">
        <is>
          <t>проценты, тело</t>
        </is>
      </c>
      <c r="D272">
        <f>B272-B271</f>
        <v/>
      </c>
      <c r="E272" s="11">
        <f>IF(YEAR(B271)=YEAR(B272),(B272-B271)/(DATE(YEAR(B271)+1,1,1)-DATE(YEAR(B271),1,1)),(DATE(YEAR(B271)+1,1,1)-B271)/(DATE(YEAR(B271)+1,1,1)-DATE(YEAR(B271),1,1))+(B272-DATE(YEAR(B272),1,1))/(DATE(YEAR(B272)+1,1,1)-DATE(YEAR(B272),1,1))+YEAR(B272)-YEAR(B271)-1)</f>
        <v/>
      </c>
      <c r="F272" s="8">
        <f>K271</f>
        <v/>
      </c>
      <c r="G272" s="7">
        <f>$B$10</f>
        <v/>
      </c>
      <c r="H272" s="8">
        <f>F272*G272*E272</f>
        <v/>
      </c>
      <c r="I272" s="8">
        <f>SUM(H272:H272)</f>
        <v/>
      </c>
      <c r="J272" s="8">
        <f>$B$14-I272</f>
        <v/>
      </c>
      <c r="K272" s="8">
        <f>F272-J272</f>
        <v/>
      </c>
    </row>
    <row r="273">
      <c r="A273" t="n">
        <v>277</v>
      </c>
      <c r="B273" s="10">
        <f>MIN(DATE(YEAR($E$3),MONTH($E$3)+A273*$E$4,MIN($E$5,DAY(EOMONTH(DATE(YEAR($E$3),MONTH($E$3)+A273*$E$4,1),0)))),$B$6)</f>
        <v/>
      </c>
      <c r="C273" t="inlineStr">
        <is>
          <t>проценты, тело</t>
        </is>
      </c>
      <c r="D273">
        <f>B273-B272</f>
        <v/>
      </c>
      <c r="E273" s="11">
        <f>IF(YEAR(B272)=YEAR(B273),(B273-B272)/(DATE(YEAR(B272)+1,1,1)-DATE(YEAR(B272),1,1)),(DATE(YEAR(B272)+1,1,1)-B272)/(DATE(YEAR(B272)+1,1,1)-DATE(YEAR(B272),1,1))+(B273-DATE(YEAR(B273),1,1))/(DATE(YEAR(B273)+1,1,1)-DATE(YEAR(B273),1,1))+YEAR(B273)-YEAR(B272)-1)</f>
        <v/>
      </c>
      <c r="F273" s="8">
        <f>K272</f>
        <v/>
      </c>
      <c r="G273" s="7">
        <f>$B$10</f>
        <v/>
      </c>
      <c r="H273" s="8">
        <f>F273*G273*E273</f>
        <v/>
      </c>
      <c r="I273" s="8">
        <f>SUM(H273:H273)</f>
        <v/>
      </c>
      <c r="J273" s="8">
        <f>$B$14-I273</f>
        <v/>
      </c>
      <c r="K273" s="8">
        <f>F273-J273</f>
        <v/>
      </c>
    </row>
    <row r="274">
      <c r="A274" t="n">
        <v>278</v>
      </c>
      <c r="B274" s="10">
        <f>MIN(DATE(YEAR($E$3),MONTH($E$3)+A274*$E$4,MIN($E$5,DAY(EOMONTH(DATE(YEAR($E$3),MONTH($E$3)+A274*$E$4,1),0)))),$B$6)</f>
        <v/>
      </c>
      <c r="C274" t="inlineStr">
        <is>
          <t>проценты, тело</t>
        </is>
      </c>
      <c r="D274">
        <f>B274-B273</f>
        <v/>
      </c>
      <c r="E274" s="11">
        <f>IF(YEAR(B273)=YEAR(B274),(B274-B273)/(DATE(YEAR(B273)+1,1,1)-DATE(YEAR(B273),1,1)),(DATE(YEAR(B273)+1,1,1)-B273)/(DATE(YEAR(B273)+1,1,1)-DATE(YEAR(B273),1,1))+(B274-DATE(YEAR(B274),1,1))/(DATE(YEAR(B274)+1,1,1)-DATE(YEAR(B274),1,1))+YEAR(B274)-YEAR(B273)-1)</f>
        <v/>
      </c>
      <c r="F274" s="8">
        <f>K273</f>
        <v/>
      </c>
      <c r="G274" s="7">
        <f>$B$10</f>
        <v/>
      </c>
      <c r="H274" s="8">
        <f>F274*G274*E274</f>
        <v/>
      </c>
      <c r="I274" s="8">
        <f>SUM(H274:H274)</f>
        <v/>
      </c>
      <c r="J274" s="8">
        <f>$B$14-I274</f>
        <v/>
      </c>
      <c r="K274" s="8">
        <f>F274-J274</f>
        <v/>
      </c>
    </row>
    <row r="275">
      <c r="A275" t="n">
        <v>279</v>
      </c>
      <c r="B275" s="10">
        <f>MIN(DATE(YEAR($E$3),MONTH($E$3)+A275*$E$4,MIN($E$5,DAY(EOMONTH(DATE(YEAR($E$3),MONTH($E$3)+A275*$E$4,1),0)))),$B$6)</f>
        <v/>
      </c>
      <c r="C275" t="inlineStr">
        <is>
          <t>проценты, тело</t>
        </is>
      </c>
      <c r="D275">
        <f>B275-B274</f>
        <v/>
      </c>
      <c r="E275" s="11">
        <f>IF(YEAR(B274)=YEAR(B275),(B275-B274)/(DATE(YEAR(B274)+1,1,1)-DATE(YEAR(B274),1,1)),(DATE(YEAR(B274)+1,1,1)-B274)/(DATE(YEAR(B274)+1,1,1)-DATE(YEAR(B274),1,1))+(B275-DATE(YEAR(B275),1,1))/(DATE(YEAR(B275)+1,1,1)-DATE(YEAR(B275),1,1))+YEAR(B275)-YEAR(B274)-1)</f>
        <v/>
      </c>
      <c r="F275" s="8">
        <f>K274</f>
        <v/>
      </c>
      <c r="G275" s="7">
        <f>$B$10</f>
        <v/>
      </c>
      <c r="H275" s="8">
        <f>F275*G275*E275</f>
        <v/>
      </c>
      <c r="I275" s="8">
        <f>SUM(H275:H275)</f>
        <v/>
      </c>
      <c r="J275" s="8">
        <f>$B$14-I275</f>
        <v/>
      </c>
      <c r="K275" s="8">
        <f>F275-J275</f>
        <v/>
      </c>
    </row>
    <row r="276">
      <c r="A276" t="n">
        <v>280</v>
      </c>
      <c r="B276" s="10">
        <f>MIN(DATE(YEAR($E$3),MONTH($E$3)+A276*$E$4,MIN($E$5,DAY(EOMONTH(DATE(YEAR($E$3),MONTH($E$3)+A276*$E$4,1),0)))),$B$6)</f>
        <v/>
      </c>
      <c r="C276" t="inlineStr">
        <is>
          <t>проценты, тело</t>
        </is>
      </c>
      <c r="D276">
        <f>B276-B275</f>
        <v/>
      </c>
      <c r="E276" s="11">
        <f>IF(YEAR(B275)=YEAR(B276),(B276-B275)/(DATE(YEAR(B275)+1,1,1)-DATE(YEAR(B275),1,1)),(DATE(YEAR(B275)+1,1,1)-B275)/(DATE(YEAR(B275)+1,1,1)-DATE(YEAR(B275),1,1))+(B276-DATE(YEAR(B276),1,1))/(DATE(YEAR(B276)+1,1,1)-DATE(YEAR(B276),1,1))+YEAR(B276)-YEAR(B275)-1)</f>
        <v/>
      </c>
      <c r="F276" s="8">
        <f>K275</f>
        <v/>
      </c>
      <c r="G276" s="7">
        <f>$B$10</f>
        <v/>
      </c>
      <c r="H276" s="8">
        <f>F276*G276*E276</f>
        <v/>
      </c>
      <c r="I276" s="8">
        <f>SUM(H276:H276)</f>
        <v/>
      </c>
      <c r="J276" s="8">
        <f>$B$14-I276</f>
        <v/>
      </c>
      <c r="K276" s="8">
        <f>F276-J276</f>
        <v/>
      </c>
    </row>
    <row r="277">
      <c r="A277" t="n">
        <v>281</v>
      </c>
      <c r="B277" s="10">
        <f>MIN(DATE(YEAR($E$3),MONTH($E$3)+A277*$E$4,MIN($E$5,DAY(EOMONTH(DATE(YEAR($E$3),MONTH($E$3)+A277*$E$4,1),0)))),$B$6)</f>
        <v/>
      </c>
      <c r="C277" t="inlineStr">
        <is>
          <t>проценты, тело</t>
        </is>
      </c>
      <c r="D277">
        <f>B277-B276</f>
        <v/>
      </c>
      <c r="E277" s="11">
        <f>IF(YEAR(B276)=YEAR(B277),(B277-B276)/(DATE(YEAR(B276)+1,1,1)-DATE(YEAR(B276),1,1)),(DATE(YEAR(B276)+1,1,1)-B276)/(DATE(YEAR(B276)+1,1,1)-DATE(YEAR(B276),1,1))+(B277-DATE(YEAR(B277),1,1))/(DATE(YEAR(B277)+1,1,1)-DATE(YEAR(B277),1,1))+YEAR(B277)-YEAR(B276)-1)</f>
        <v/>
      </c>
      <c r="F277" s="8">
        <f>K276</f>
        <v/>
      </c>
      <c r="G277" s="7">
        <f>$B$10</f>
        <v/>
      </c>
      <c r="H277" s="8">
        <f>F277*G277*E277</f>
        <v/>
      </c>
      <c r="I277" s="8">
        <f>SUM(H277:H277)</f>
        <v/>
      </c>
      <c r="J277" s="8">
        <f>$B$14-I277</f>
        <v/>
      </c>
      <c r="K277" s="8">
        <f>F277-J277</f>
        <v/>
      </c>
    </row>
    <row r="278">
      <c r="A278" t="n">
        <v>282</v>
      </c>
      <c r="B278" s="10">
        <f>MIN(DATE(YEAR($E$3),MONTH($E$3)+A278*$E$4,MIN($E$5,DAY(EOMONTH(DATE(YEAR($E$3),MONTH($E$3)+A278*$E$4,1),0)))),$B$6)</f>
        <v/>
      </c>
      <c r="C278" t="inlineStr">
        <is>
          <t>проценты, тело</t>
        </is>
      </c>
      <c r="D278">
        <f>B278-B277</f>
        <v/>
      </c>
      <c r="E278" s="11">
        <f>IF(YEAR(B277)=YEAR(B278),(B278-B277)/(DATE(YEAR(B277)+1,1,1)-DATE(YEAR(B277),1,1)),(DATE(YEAR(B277)+1,1,1)-B277)/(DATE(YEAR(B277)+1,1,1)-DATE(YEAR(B277),1,1))+(B278-DATE(YEAR(B278),1,1))/(DATE(YEAR(B278)+1,1,1)-DATE(YEAR(B278),1,1))+YEAR(B278)-YEAR(B277)-1)</f>
        <v/>
      </c>
      <c r="F278" s="8">
        <f>K277</f>
        <v/>
      </c>
      <c r="G278" s="7">
        <f>$B$10</f>
        <v/>
      </c>
      <c r="H278" s="8">
        <f>F278*G278*E278</f>
        <v/>
      </c>
      <c r="I278" s="8">
        <f>SUM(H278:H278)</f>
        <v/>
      </c>
      <c r="J278" s="8">
        <f>$B$14-I278</f>
        <v/>
      </c>
      <c r="K278" s="8">
        <f>F278-J278</f>
        <v/>
      </c>
    </row>
    <row r="279">
      <c r="A279" t="n">
        <v>283</v>
      </c>
      <c r="B279" s="10">
        <f>MIN(DATE(YEAR($E$3),MONTH($E$3)+A279*$E$4,MIN($E$5,DAY(EOMONTH(DATE(YEAR($E$3),MONTH($E$3)+A279*$E$4,1),0)))),$B$6)</f>
        <v/>
      </c>
      <c r="C279" t="inlineStr">
        <is>
          <t>проценты, тело</t>
        </is>
      </c>
      <c r="D279">
        <f>B279-B278</f>
        <v/>
      </c>
      <c r="E279" s="11">
        <f>IF(YEAR(B278)=YEAR(B279),(B279-B278)/(DATE(YEAR(B278)+1,1,1)-DATE(YEAR(B278),1,1)),(DATE(YEAR(B278)+1,1,1)-B278)/(DATE(YEAR(B278)+1,1,1)-DATE(YEAR(B278),1,1))+(B279-DATE(YEAR(B279),1,1))/(DATE(YEAR(B279)+1,1,1)-DATE(YEAR(B279),1,1))+YEAR(B279)-YEAR(B278)-1)</f>
        <v/>
      </c>
      <c r="F279" s="8">
        <f>K278</f>
        <v/>
      </c>
      <c r="G279" s="7">
        <f>$B$10</f>
        <v/>
      </c>
      <c r="H279" s="8">
        <f>F279*G279*E279</f>
        <v/>
      </c>
      <c r="I279" s="8">
        <f>SUM(H279:H279)</f>
        <v/>
      </c>
      <c r="J279" s="8">
        <f>$B$14-I279</f>
        <v/>
      </c>
      <c r="K279" s="8">
        <f>F279-J279</f>
        <v/>
      </c>
    </row>
    <row r="280">
      <c r="A280" t="n">
        <v>284</v>
      </c>
      <c r="B280" s="10">
        <f>MIN(DATE(YEAR($E$3),MONTH($E$3)+A280*$E$4,MIN($E$5,DAY(EOMONTH(DATE(YEAR($E$3),MONTH($E$3)+A280*$E$4,1),0)))),$B$6)</f>
        <v/>
      </c>
      <c r="C280" t="inlineStr">
        <is>
          <t>проценты, тело</t>
        </is>
      </c>
      <c r="D280">
        <f>B280-B279</f>
        <v/>
      </c>
      <c r="E280" s="11">
        <f>IF(YEAR(B279)=YEAR(B280),(B280-B279)/(DATE(YEAR(B279)+1,1,1)-DATE(YEAR(B279),1,1)),(DATE(YEAR(B279)+1,1,1)-B279)/(DATE(YEAR(B279)+1,1,1)-DATE(YEAR(B279),1,1))+(B280-DATE(YEAR(B280),1,1))/(DATE(YEAR(B280)+1,1,1)-DATE(YEAR(B280),1,1))+YEAR(B280)-YEAR(B279)-1)</f>
        <v/>
      </c>
      <c r="F280" s="8">
        <f>K279</f>
        <v/>
      </c>
      <c r="G280" s="7">
        <f>$B$10</f>
        <v/>
      </c>
      <c r="H280" s="8">
        <f>F280*G280*E280</f>
        <v/>
      </c>
      <c r="I280" s="8">
        <f>SUM(H280:H280)</f>
        <v/>
      </c>
      <c r="J280" s="8">
        <f>$B$14-I280</f>
        <v/>
      </c>
      <c r="K280" s="8">
        <f>F280-J280</f>
        <v/>
      </c>
    </row>
    <row r="281">
      <c r="A281" t="n">
        <v>285</v>
      </c>
      <c r="B281" s="10">
        <f>MIN(DATE(YEAR($E$3),MONTH($E$3)+A281*$E$4,MIN($E$5,DAY(EOMONTH(DATE(YEAR($E$3),MONTH($E$3)+A281*$E$4,1),0)))),$B$6)</f>
        <v/>
      </c>
      <c r="C281" t="inlineStr">
        <is>
          <t>проценты, тело</t>
        </is>
      </c>
      <c r="D281">
        <f>B281-B280</f>
        <v/>
      </c>
      <c r="E281" s="11">
        <f>IF(YEAR(B280)=YEAR(B281),(B281-B280)/(DATE(YEAR(B280)+1,1,1)-DATE(YEAR(B280),1,1)),(DATE(YEAR(B280)+1,1,1)-B280)/(DATE(YEAR(B280)+1,1,1)-DATE(YEAR(B280),1,1))+(B281-DATE(YEAR(B281),1,1))/(DATE(YEAR(B281)+1,1,1)-DATE(YEAR(B281),1,1))+YEAR(B281)-YEAR(B280)-1)</f>
        <v/>
      </c>
      <c r="F281" s="8">
        <f>K280</f>
        <v/>
      </c>
      <c r="G281" s="7">
        <f>$B$10</f>
        <v/>
      </c>
      <c r="H281" s="8">
        <f>F281*G281*E281</f>
        <v/>
      </c>
      <c r="I281" s="8">
        <f>SUM(H281:H281)</f>
        <v/>
      </c>
      <c r="J281" s="8">
        <f>$B$14-I281</f>
        <v/>
      </c>
      <c r="K281" s="8">
        <f>F281-J281</f>
        <v/>
      </c>
    </row>
    <row r="282">
      <c r="A282" t="n">
        <v>286</v>
      </c>
      <c r="B282" s="10">
        <f>MIN(DATE(YEAR($E$3),MONTH($E$3)+A282*$E$4,MIN($E$5,DAY(EOMONTH(DATE(YEAR($E$3),MONTH($E$3)+A282*$E$4,1),0)))),$B$6)</f>
        <v/>
      </c>
      <c r="C282" t="inlineStr">
        <is>
          <t>проценты, тело</t>
        </is>
      </c>
      <c r="D282">
        <f>B282-B281</f>
        <v/>
      </c>
      <c r="E282" s="11">
        <f>IF(YEAR(B281)=YEAR(B282),(B282-B281)/(DATE(YEAR(B281)+1,1,1)-DATE(YEAR(B281),1,1)),(DATE(YEAR(B281)+1,1,1)-B281)/(DATE(YEAR(B281)+1,1,1)-DATE(YEAR(B281),1,1))+(B282-DATE(YEAR(B282),1,1))/(DATE(YEAR(B282)+1,1,1)-DATE(YEAR(B282),1,1))+YEAR(B282)-YEAR(B281)-1)</f>
        <v/>
      </c>
      <c r="F282" s="8">
        <f>K281</f>
        <v/>
      </c>
      <c r="G282" s="7">
        <f>$B$10</f>
        <v/>
      </c>
      <c r="H282" s="8">
        <f>F282*G282*E282</f>
        <v/>
      </c>
      <c r="I282" s="8">
        <f>SUM(H282:H282)</f>
        <v/>
      </c>
      <c r="J282" s="8">
        <f>$B$14-I282</f>
        <v/>
      </c>
      <c r="K282" s="8">
        <f>F282-J282</f>
        <v/>
      </c>
    </row>
    <row r="283">
      <c r="A283" t="n">
        <v>287</v>
      </c>
      <c r="B283" s="10">
        <f>MIN(DATE(YEAR($E$3),MONTH($E$3)+A283*$E$4,MIN($E$5,DAY(EOMONTH(DATE(YEAR($E$3),MONTH($E$3)+A283*$E$4,1),0)))),$B$6)</f>
        <v/>
      </c>
      <c r="C283" t="inlineStr">
        <is>
          <t>проценты, тело</t>
        </is>
      </c>
      <c r="D283">
        <f>B283-B282</f>
        <v/>
      </c>
      <c r="E283" s="11">
        <f>IF(YEAR(B282)=YEAR(B283),(B283-B282)/(DATE(YEAR(B282)+1,1,1)-DATE(YEAR(B282),1,1)),(DATE(YEAR(B282)+1,1,1)-B282)/(DATE(YEAR(B282)+1,1,1)-DATE(YEAR(B282),1,1))+(B283-DATE(YEAR(B283),1,1))/(DATE(YEAR(B283)+1,1,1)-DATE(YEAR(B283),1,1))+YEAR(B283)-YEAR(B282)-1)</f>
        <v/>
      </c>
      <c r="F283" s="8">
        <f>K282</f>
        <v/>
      </c>
      <c r="G283" s="7">
        <f>$B$10</f>
        <v/>
      </c>
      <c r="H283" s="8">
        <f>F283*G283*E283</f>
        <v/>
      </c>
      <c r="I283" s="8">
        <f>SUM(H283:H283)</f>
        <v/>
      </c>
      <c r="J283" s="8">
        <f>$B$14-I283</f>
        <v/>
      </c>
      <c r="K283" s="8">
        <f>F283-J283</f>
        <v/>
      </c>
    </row>
    <row r="284">
      <c r="A284" t="n">
        <v>288</v>
      </c>
      <c r="B284" s="10">
        <f>MIN(DATE(YEAR($E$3),MONTH($E$3)+A284*$E$4,MIN($E$5,DAY(EOMONTH(DATE(YEAR($E$3),MONTH($E$3)+A284*$E$4,1),0)))),$B$6)</f>
        <v/>
      </c>
      <c r="C284" t="inlineStr">
        <is>
          <t>проценты, тело</t>
        </is>
      </c>
      <c r="D284">
        <f>B284-B283</f>
        <v/>
      </c>
      <c r="E284" s="11">
        <f>IF(YEAR(B283)=YEAR(B284),(B284-B283)/(DATE(YEAR(B283)+1,1,1)-DATE(YEAR(B283),1,1)),(DATE(YEAR(B283)+1,1,1)-B283)/(DATE(YEAR(B283)+1,1,1)-DATE(YEAR(B283),1,1))+(B284-DATE(YEAR(B284),1,1))/(DATE(YEAR(B284)+1,1,1)-DATE(YEAR(B284),1,1))+YEAR(B284)-YEAR(B283)-1)</f>
        <v/>
      </c>
      <c r="F284" s="8">
        <f>K283</f>
        <v/>
      </c>
      <c r="G284" s="7">
        <f>$B$10</f>
        <v/>
      </c>
      <c r="H284" s="8">
        <f>F284*G284*E284</f>
        <v/>
      </c>
      <c r="I284" s="8">
        <f>SUM(H284:H284)</f>
        <v/>
      </c>
      <c r="J284" s="8">
        <f>$B$14-I284</f>
        <v/>
      </c>
      <c r="K284" s="8">
        <f>F284-J284</f>
        <v/>
      </c>
    </row>
    <row r="285">
      <c r="A285" t="n">
        <v>289</v>
      </c>
      <c r="B285" s="10">
        <f>MIN(DATE(YEAR($E$3),MONTH($E$3)+A285*$E$4,MIN($E$5,DAY(EOMONTH(DATE(YEAR($E$3),MONTH($E$3)+A285*$E$4,1),0)))),$B$6)</f>
        <v/>
      </c>
      <c r="C285" t="inlineStr">
        <is>
          <t>проценты, тело</t>
        </is>
      </c>
      <c r="D285">
        <f>B285-B284</f>
        <v/>
      </c>
      <c r="E285" s="11">
        <f>IF(YEAR(B284)=YEAR(B285),(B285-B284)/(DATE(YEAR(B284)+1,1,1)-DATE(YEAR(B284),1,1)),(DATE(YEAR(B284)+1,1,1)-B284)/(DATE(YEAR(B284)+1,1,1)-DATE(YEAR(B284),1,1))+(B285-DATE(YEAR(B285),1,1))/(DATE(YEAR(B285)+1,1,1)-DATE(YEAR(B285),1,1))+YEAR(B285)-YEAR(B284)-1)</f>
        <v/>
      </c>
      <c r="F285" s="8">
        <f>K284</f>
        <v/>
      </c>
      <c r="G285" s="7">
        <f>$B$10</f>
        <v/>
      </c>
      <c r="H285" s="8">
        <f>F285*G285*E285</f>
        <v/>
      </c>
      <c r="I285" s="8">
        <f>SUM(H285:H285)</f>
        <v/>
      </c>
      <c r="J285" s="8">
        <f>$B$14-I285</f>
        <v/>
      </c>
      <c r="K285" s="8">
        <f>F285-J285</f>
        <v/>
      </c>
    </row>
    <row r="286">
      <c r="A286" t="n">
        <v>290</v>
      </c>
      <c r="B286" s="10">
        <f>MIN(DATE(YEAR($E$3),MONTH($E$3)+A286*$E$4,MIN($E$5,DAY(EOMONTH(DATE(YEAR($E$3),MONTH($E$3)+A286*$E$4,1),0)))),$B$6)</f>
        <v/>
      </c>
      <c r="C286" t="inlineStr">
        <is>
          <t>проценты, тело</t>
        </is>
      </c>
      <c r="D286">
        <f>B286-B285</f>
        <v/>
      </c>
      <c r="E286" s="11">
        <f>IF(YEAR(B285)=YEAR(B286),(B286-B285)/(DATE(YEAR(B285)+1,1,1)-DATE(YEAR(B285),1,1)),(DATE(YEAR(B285)+1,1,1)-B285)/(DATE(YEAR(B285)+1,1,1)-DATE(YEAR(B285),1,1))+(B286-DATE(YEAR(B286),1,1))/(DATE(YEAR(B286)+1,1,1)-DATE(YEAR(B286),1,1))+YEAR(B286)-YEAR(B285)-1)</f>
        <v/>
      </c>
      <c r="F286" s="8">
        <f>K285</f>
        <v/>
      </c>
      <c r="G286" s="7">
        <f>$B$10</f>
        <v/>
      </c>
      <c r="H286" s="8">
        <f>F286*G286*E286</f>
        <v/>
      </c>
      <c r="I286" s="8">
        <f>SUM(H286:H286)</f>
        <v/>
      </c>
      <c r="J286" s="8">
        <f>$B$14-I286</f>
        <v/>
      </c>
      <c r="K286" s="8">
        <f>F286-J286</f>
        <v/>
      </c>
    </row>
    <row r="287">
      <c r="A287" t="n">
        <v>291</v>
      </c>
      <c r="B287" s="10">
        <f>MIN(DATE(YEAR($E$3),MONTH($E$3)+A287*$E$4,MIN($E$5,DAY(EOMONTH(DATE(YEAR($E$3),MONTH($E$3)+A287*$E$4,1),0)))),$B$6)</f>
        <v/>
      </c>
      <c r="C287" t="inlineStr">
        <is>
          <t>проценты, тело</t>
        </is>
      </c>
      <c r="D287">
        <f>B287-B286</f>
        <v/>
      </c>
      <c r="E287" s="11">
        <f>IF(YEAR(B286)=YEAR(B287),(B287-B286)/(DATE(YEAR(B286)+1,1,1)-DATE(YEAR(B286),1,1)),(DATE(YEAR(B286)+1,1,1)-B286)/(DATE(YEAR(B286)+1,1,1)-DATE(YEAR(B286),1,1))+(B287-DATE(YEAR(B287),1,1))/(DATE(YEAR(B287)+1,1,1)-DATE(YEAR(B287),1,1))+YEAR(B287)-YEAR(B286)-1)</f>
        <v/>
      </c>
      <c r="F287" s="8">
        <f>K286</f>
        <v/>
      </c>
      <c r="G287" s="7">
        <f>$B$10</f>
        <v/>
      </c>
      <c r="H287" s="8">
        <f>F287*G287*E287</f>
        <v/>
      </c>
      <c r="I287" s="8">
        <f>SUM(H287:H287)</f>
        <v/>
      </c>
      <c r="J287" s="8">
        <f>$B$14-I287</f>
        <v/>
      </c>
      <c r="K287" s="8">
        <f>F287-J287</f>
        <v/>
      </c>
    </row>
    <row r="288">
      <c r="A288" t="n">
        <v>292</v>
      </c>
      <c r="B288" s="10">
        <f>MIN(DATE(YEAR($E$3),MONTH($E$3)+A288*$E$4,MIN($E$5,DAY(EOMONTH(DATE(YEAR($E$3),MONTH($E$3)+A288*$E$4,1),0)))),$B$6)</f>
        <v/>
      </c>
      <c r="C288" t="inlineStr">
        <is>
          <t>проценты, тело</t>
        </is>
      </c>
      <c r="D288">
        <f>B288-B287</f>
        <v/>
      </c>
      <c r="E288" s="11">
        <f>IF(YEAR(B287)=YEAR(B288),(B288-B287)/(DATE(YEAR(B287)+1,1,1)-DATE(YEAR(B287),1,1)),(DATE(YEAR(B287)+1,1,1)-B287)/(DATE(YEAR(B287)+1,1,1)-DATE(YEAR(B287),1,1))+(B288-DATE(YEAR(B288),1,1))/(DATE(YEAR(B288)+1,1,1)-DATE(YEAR(B288),1,1))+YEAR(B288)-YEAR(B287)-1)</f>
        <v/>
      </c>
      <c r="F288" s="8">
        <f>K287</f>
        <v/>
      </c>
      <c r="G288" s="7">
        <f>$B$10</f>
        <v/>
      </c>
      <c r="H288" s="8">
        <f>F288*G288*E288</f>
        <v/>
      </c>
      <c r="I288" s="8">
        <f>SUM(H288:H288)</f>
        <v/>
      </c>
      <c r="J288" s="8">
        <f>$B$14-I288</f>
        <v/>
      </c>
      <c r="K288" s="8">
        <f>F288-J288</f>
        <v/>
      </c>
    </row>
    <row r="289">
      <c r="A289" t="n">
        <v>293</v>
      </c>
      <c r="B289" s="10">
        <f>MIN(DATE(YEAR($E$3),MONTH($E$3)+A289*$E$4,MIN($E$5,DAY(EOMONTH(DATE(YEAR($E$3),MONTH($E$3)+A289*$E$4,1),0)))),$B$6)</f>
        <v/>
      </c>
      <c r="C289" t="inlineStr">
        <is>
          <t>проценты, тело</t>
        </is>
      </c>
      <c r="D289">
        <f>B289-B288</f>
        <v/>
      </c>
      <c r="E289" s="11">
        <f>IF(YEAR(B288)=YEAR(B289),(B289-B288)/(DATE(YEAR(B288)+1,1,1)-DATE(YEAR(B288),1,1)),(DATE(YEAR(B288)+1,1,1)-B288)/(DATE(YEAR(B288)+1,1,1)-DATE(YEAR(B288),1,1))+(B289-DATE(YEAR(B289),1,1))/(DATE(YEAR(B289)+1,1,1)-DATE(YEAR(B289),1,1))+YEAR(B289)-YEAR(B288)-1)</f>
        <v/>
      </c>
      <c r="F289" s="8">
        <f>K288</f>
        <v/>
      </c>
      <c r="G289" s="7">
        <f>$B$10</f>
        <v/>
      </c>
      <c r="H289" s="8">
        <f>F289*G289*E289</f>
        <v/>
      </c>
      <c r="I289" s="8">
        <f>SUM(H289:H289)</f>
        <v/>
      </c>
      <c r="J289" s="8">
        <f>$B$14-I289</f>
        <v/>
      </c>
      <c r="K289" s="8">
        <f>F289-J289</f>
        <v/>
      </c>
    </row>
    <row r="290">
      <c r="A290" t="n">
        <v>294</v>
      </c>
      <c r="B290" s="10">
        <f>MIN(DATE(YEAR($E$3),MONTH($E$3)+A290*$E$4,MIN($E$5,DAY(EOMONTH(DATE(YEAR($E$3),MONTH($E$3)+A290*$E$4,1),0)))),$B$6)</f>
        <v/>
      </c>
      <c r="C290" t="inlineStr">
        <is>
          <t>проценты, тело</t>
        </is>
      </c>
      <c r="D290">
        <f>B290-B289</f>
        <v/>
      </c>
      <c r="E290" s="11">
        <f>IF(YEAR(B289)=YEAR(B290),(B290-B289)/(DATE(YEAR(B289)+1,1,1)-DATE(YEAR(B289),1,1)),(DATE(YEAR(B289)+1,1,1)-B289)/(DATE(YEAR(B289)+1,1,1)-DATE(YEAR(B289),1,1))+(B290-DATE(YEAR(B290),1,1))/(DATE(YEAR(B290)+1,1,1)-DATE(YEAR(B290),1,1))+YEAR(B290)-YEAR(B289)-1)</f>
        <v/>
      </c>
      <c r="F290" s="8">
        <f>K289</f>
        <v/>
      </c>
      <c r="G290" s="7">
        <f>$B$10</f>
        <v/>
      </c>
      <c r="H290" s="8">
        <f>F290*G290*E290</f>
        <v/>
      </c>
      <c r="I290" s="8">
        <f>SUM(H290:H290)</f>
        <v/>
      </c>
      <c r="J290" s="8">
        <f>$B$14-I290</f>
        <v/>
      </c>
      <c r="K290" s="8">
        <f>F290-J290</f>
        <v/>
      </c>
    </row>
    <row r="291">
      <c r="A291" t="n">
        <v>295</v>
      </c>
      <c r="B291" s="10">
        <f>MIN(DATE(YEAR($E$3),MONTH($E$3)+A291*$E$4,MIN($E$5,DAY(EOMONTH(DATE(YEAR($E$3),MONTH($E$3)+A291*$E$4,1),0)))),$B$6)</f>
        <v/>
      </c>
      <c r="C291" t="inlineStr">
        <is>
          <t>проценты, тело</t>
        </is>
      </c>
      <c r="D291">
        <f>B291-B290</f>
        <v/>
      </c>
      <c r="E291" s="11">
        <f>IF(YEAR(B290)=YEAR(B291),(B291-B290)/(DATE(YEAR(B290)+1,1,1)-DATE(YEAR(B290),1,1)),(DATE(YEAR(B290)+1,1,1)-B290)/(DATE(YEAR(B290)+1,1,1)-DATE(YEAR(B290),1,1))+(B291-DATE(YEAR(B291),1,1))/(DATE(YEAR(B291)+1,1,1)-DATE(YEAR(B291),1,1))+YEAR(B291)-YEAR(B290)-1)</f>
        <v/>
      </c>
      <c r="F291" s="8">
        <f>K290</f>
        <v/>
      </c>
      <c r="G291" s="7">
        <f>$B$10</f>
        <v/>
      </c>
      <c r="H291" s="8">
        <f>F291*G291*E291</f>
        <v/>
      </c>
      <c r="I291" s="8">
        <f>SUM(H291:H291)</f>
        <v/>
      </c>
      <c r="J291" s="8">
        <f>$B$14-I291</f>
        <v/>
      </c>
      <c r="K291" s="8">
        <f>F291-J291</f>
        <v/>
      </c>
    </row>
    <row r="292">
      <c r="A292" t="n">
        <v>296</v>
      </c>
      <c r="B292" s="10">
        <f>MIN(DATE(YEAR($E$3),MONTH($E$3)+A292*$E$4,MIN($E$5,DAY(EOMONTH(DATE(YEAR($E$3),MONTH($E$3)+A292*$E$4,1),0)))),$B$6)</f>
        <v/>
      </c>
      <c r="C292" t="inlineStr">
        <is>
          <t>проценты, тело</t>
        </is>
      </c>
      <c r="D292">
        <f>B292-B291</f>
        <v/>
      </c>
      <c r="E292" s="11">
        <f>IF(YEAR(B291)=YEAR(B292),(B292-B291)/(DATE(YEAR(B291)+1,1,1)-DATE(YEAR(B291),1,1)),(DATE(YEAR(B291)+1,1,1)-B291)/(DATE(YEAR(B291)+1,1,1)-DATE(YEAR(B291),1,1))+(B292-DATE(YEAR(B292),1,1))/(DATE(YEAR(B292)+1,1,1)-DATE(YEAR(B292),1,1))+YEAR(B292)-YEAR(B291)-1)</f>
        <v/>
      </c>
      <c r="F292" s="8">
        <f>K291</f>
        <v/>
      </c>
      <c r="G292" s="7">
        <f>$B$10</f>
        <v/>
      </c>
      <c r="H292" s="8">
        <f>F292*G292*E292</f>
        <v/>
      </c>
      <c r="I292" s="8">
        <f>SUM(H292:H292)</f>
        <v/>
      </c>
      <c r="J292" s="8">
        <f>$B$14-I292</f>
        <v/>
      </c>
      <c r="K292" s="8">
        <f>F292-J292</f>
        <v/>
      </c>
    </row>
    <row r="293">
      <c r="A293" t="n">
        <v>297</v>
      </c>
      <c r="B293" s="10">
        <f>MIN(DATE(YEAR($E$3),MONTH($E$3)+A293*$E$4,MIN($E$5,DAY(EOMONTH(DATE(YEAR($E$3),MONTH($E$3)+A293*$E$4,1),0)))),$B$6)</f>
        <v/>
      </c>
      <c r="C293" t="inlineStr">
        <is>
          <t>проценты, тело</t>
        </is>
      </c>
      <c r="D293">
        <f>B293-B292</f>
        <v/>
      </c>
      <c r="E293" s="11">
        <f>IF(YEAR(B292)=YEAR(B293),(B293-B292)/(DATE(YEAR(B292)+1,1,1)-DATE(YEAR(B292),1,1)),(DATE(YEAR(B292)+1,1,1)-B292)/(DATE(YEAR(B292)+1,1,1)-DATE(YEAR(B292),1,1))+(B293-DATE(YEAR(B293),1,1))/(DATE(YEAR(B293)+1,1,1)-DATE(YEAR(B293),1,1))+YEAR(B293)-YEAR(B292)-1)</f>
        <v/>
      </c>
      <c r="F293" s="8">
        <f>K292</f>
        <v/>
      </c>
      <c r="G293" s="7">
        <f>$B$10</f>
        <v/>
      </c>
      <c r="H293" s="8">
        <f>F293*G293*E293</f>
        <v/>
      </c>
      <c r="I293" s="8">
        <f>SUM(H293:H293)</f>
        <v/>
      </c>
      <c r="J293" s="8">
        <f>$B$14-I293</f>
        <v/>
      </c>
      <c r="K293" s="8">
        <f>F293-J293</f>
        <v/>
      </c>
    </row>
    <row r="294">
      <c r="A294" t="n">
        <v>298</v>
      </c>
      <c r="B294" s="10">
        <f>MIN(DATE(YEAR($E$3),MONTH($E$3)+A294*$E$4,MIN($E$5,DAY(EOMONTH(DATE(YEAR($E$3),MONTH($E$3)+A294*$E$4,1),0)))),$B$6)</f>
        <v/>
      </c>
      <c r="C294" t="inlineStr">
        <is>
          <t>проценты, тело</t>
        </is>
      </c>
      <c r="D294">
        <f>B294-B293</f>
        <v/>
      </c>
      <c r="E294" s="11">
        <f>IF(YEAR(B293)=YEAR(B294),(B294-B293)/(DATE(YEAR(B293)+1,1,1)-DATE(YEAR(B293),1,1)),(DATE(YEAR(B293)+1,1,1)-B293)/(DATE(YEAR(B293)+1,1,1)-DATE(YEAR(B293),1,1))+(B294-DATE(YEAR(B294),1,1))/(DATE(YEAR(B294)+1,1,1)-DATE(YEAR(B294),1,1))+YEAR(B294)-YEAR(B293)-1)</f>
        <v/>
      </c>
      <c r="F294" s="8">
        <f>K293</f>
        <v/>
      </c>
      <c r="G294" s="7">
        <f>$B$10</f>
        <v/>
      </c>
      <c r="H294" s="8">
        <f>F294*G294*E294</f>
        <v/>
      </c>
      <c r="I294" s="8">
        <f>SUM(H294:H294)</f>
        <v/>
      </c>
      <c r="J294" s="8">
        <f>$B$14-I294</f>
        <v/>
      </c>
      <c r="K294" s="8">
        <f>F294-J294</f>
        <v/>
      </c>
    </row>
    <row r="295">
      <c r="A295" t="n">
        <v>299</v>
      </c>
      <c r="B295" s="10">
        <f>MIN(DATE(YEAR($E$3),MONTH($E$3)+A295*$E$4,MIN($E$5,DAY(EOMONTH(DATE(YEAR($E$3),MONTH($E$3)+A295*$E$4,1),0)))),$B$6)</f>
        <v/>
      </c>
      <c r="C295" t="inlineStr">
        <is>
          <t>проценты, тело</t>
        </is>
      </c>
      <c r="D295">
        <f>B295-B294</f>
        <v/>
      </c>
      <c r="E295" s="11">
        <f>IF(YEAR(B294)=YEAR(B295),(B295-B294)/(DATE(YEAR(B294)+1,1,1)-DATE(YEAR(B294),1,1)),(DATE(YEAR(B294)+1,1,1)-B294)/(DATE(YEAR(B294)+1,1,1)-DATE(YEAR(B294),1,1))+(B295-DATE(YEAR(B295),1,1))/(DATE(YEAR(B295)+1,1,1)-DATE(YEAR(B295),1,1))+YEAR(B295)-YEAR(B294)-1)</f>
        <v/>
      </c>
      <c r="F295" s="8">
        <f>K294</f>
        <v/>
      </c>
      <c r="G295" s="7">
        <f>$B$10</f>
        <v/>
      </c>
      <c r="H295" s="8">
        <f>F295*G295*E295</f>
        <v/>
      </c>
      <c r="I295" s="8">
        <f>SUM(H295:H295)</f>
        <v/>
      </c>
      <c r="J295" s="8">
        <f>$B$14-I295</f>
        <v/>
      </c>
      <c r="K295" s="8">
        <f>F295-J295</f>
        <v/>
      </c>
    </row>
    <row r="296">
      <c r="A296" t="n">
        <v>300</v>
      </c>
      <c r="B296" s="10">
        <f>MIN(DATE(YEAR($E$3),MONTH($E$3)+A296*$E$4,MIN($E$5,DAY(EOMONTH(DATE(YEAR($E$3),MONTH($E$3)+A296*$E$4,1),0)))),$B$6)</f>
        <v/>
      </c>
      <c r="C296" t="inlineStr">
        <is>
          <t>проценты, тело</t>
        </is>
      </c>
      <c r="D296">
        <f>B296-B295</f>
        <v/>
      </c>
      <c r="E296" s="11">
        <f>IF(YEAR(B295)=YEAR(B296),(B296-B295)/(DATE(YEAR(B295)+1,1,1)-DATE(YEAR(B295),1,1)),(DATE(YEAR(B295)+1,1,1)-B295)/(DATE(YEAR(B295)+1,1,1)-DATE(YEAR(B295),1,1))+(B296-DATE(YEAR(B296),1,1))/(DATE(YEAR(B296)+1,1,1)-DATE(YEAR(B296),1,1))+YEAR(B296)-YEAR(B295)-1)</f>
        <v/>
      </c>
      <c r="F296" s="8">
        <f>K295</f>
        <v/>
      </c>
      <c r="G296" s="7">
        <f>$B$10</f>
        <v/>
      </c>
      <c r="H296" s="8">
        <f>F296*G296*E296</f>
        <v/>
      </c>
      <c r="I296" s="8">
        <f>SUM(H296:H296)</f>
        <v/>
      </c>
      <c r="J296" s="8">
        <f>$B$14-I296</f>
        <v/>
      </c>
      <c r="K296" s="8">
        <f>F296-J296</f>
        <v/>
      </c>
    </row>
    <row r="297">
      <c r="A297" t="n">
        <v>301</v>
      </c>
      <c r="B297" s="10">
        <f>MIN(DATE(YEAR($E$3),MONTH($E$3)+A297*$E$4,MIN($E$5,DAY(EOMONTH(DATE(YEAR($E$3),MONTH($E$3)+A297*$E$4,1),0)))),$B$6)</f>
        <v/>
      </c>
      <c r="C297" t="inlineStr">
        <is>
          <t>проценты, тело</t>
        </is>
      </c>
      <c r="D297">
        <f>B297-B296</f>
        <v/>
      </c>
      <c r="E297" s="11">
        <f>IF(YEAR(B296)=YEAR(B297),(B297-B296)/(DATE(YEAR(B296)+1,1,1)-DATE(YEAR(B296),1,1)),(DATE(YEAR(B296)+1,1,1)-B296)/(DATE(YEAR(B296)+1,1,1)-DATE(YEAR(B296),1,1))+(B297-DATE(YEAR(B297),1,1))/(DATE(YEAR(B297)+1,1,1)-DATE(YEAR(B297),1,1))+YEAR(B297)-YEAR(B296)-1)</f>
        <v/>
      </c>
      <c r="F297" s="8">
        <f>K296</f>
        <v/>
      </c>
      <c r="G297" s="7">
        <f>$B$10</f>
        <v/>
      </c>
      <c r="H297" s="8">
        <f>F297*G297*E297</f>
        <v/>
      </c>
      <c r="I297" s="8">
        <f>SUM(H297:H297)</f>
        <v/>
      </c>
      <c r="J297" s="8">
        <f>$B$14-I297</f>
        <v/>
      </c>
      <c r="K297" s="8">
        <f>F297-J297</f>
        <v/>
      </c>
    </row>
    <row r="298">
      <c r="A298" t="n">
        <v>302</v>
      </c>
      <c r="B298" s="10">
        <f>MIN(DATE(YEAR($E$3),MONTH($E$3)+A298*$E$4,MIN($E$5,DAY(EOMONTH(DATE(YEAR($E$3),MONTH($E$3)+A298*$E$4,1),0)))),$B$6)</f>
        <v/>
      </c>
      <c r="C298" t="inlineStr">
        <is>
          <t>проценты, тело</t>
        </is>
      </c>
      <c r="D298">
        <f>B298-B297</f>
        <v/>
      </c>
      <c r="E298" s="11">
        <f>IF(YEAR(B297)=YEAR(B298),(B298-B297)/(DATE(YEAR(B297)+1,1,1)-DATE(YEAR(B297),1,1)),(DATE(YEAR(B297)+1,1,1)-B297)/(DATE(YEAR(B297)+1,1,1)-DATE(YEAR(B297),1,1))+(B298-DATE(YEAR(B298),1,1))/(DATE(YEAR(B298)+1,1,1)-DATE(YEAR(B298),1,1))+YEAR(B298)-YEAR(B297)-1)</f>
        <v/>
      </c>
      <c r="F298" s="8">
        <f>K297</f>
        <v/>
      </c>
      <c r="G298" s="7">
        <f>$B$10</f>
        <v/>
      </c>
      <c r="H298" s="8">
        <f>F298*G298*E298</f>
        <v/>
      </c>
      <c r="I298" s="8">
        <f>SUM(H298:H298)</f>
        <v/>
      </c>
      <c r="J298" s="8">
        <f>$B$14-I298</f>
        <v/>
      </c>
      <c r="K298" s="8">
        <f>F298-J298</f>
        <v/>
      </c>
    </row>
    <row r="299">
      <c r="A299" t="n">
        <v>303</v>
      </c>
      <c r="B299" s="10">
        <f>MIN(DATE(YEAR($E$3),MONTH($E$3)+A299*$E$4,MIN($E$5,DAY(EOMONTH(DATE(YEAR($E$3),MONTH($E$3)+A299*$E$4,1),0)))),$B$6)</f>
        <v/>
      </c>
      <c r="C299" t="inlineStr">
        <is>
          <t>проценты, тело</t>
        </is>
      </c>
      <c r="D299">
        <f>B299-B298</f>
        <v/>
      </c>
      <c r="E299" s="11">
        <f>IF(YEAR(B298)=YEAR(B299),(B299-B298)/(DATE(YEAR(B298)+1,1,1)-DATE(YEAR(B298),1,1)),(DATE(YEAR(B298)+1,1,1)-B298)/(DATE(YEAR(B298)+1,1,1)-DATE(YEAR(B298),1,1))+(B299-DATE(YEAR(B299),1,1))/(DATE(YEAR(B299)+1,1,1)-DATE(YEAR(B299),1,1))+YEAR(B299)-YEAR(B298)-1)</f>
        <v/>
      </c>
      <c r="F299" s="8">
        <f>K298</f>
        <v/>
      </c>
      <c r="G299" s="7">
        <f>$B$10</f>
        <v/>
      </c>
      <c r="H299" s="8">
        <f>F299*G299*E299</f>
        <v/>
      </c>
      <c r="I299" s="8">
        <f>SUM(H299:H299)</f>
        <v/>
      </c>
      <c r="J299" s="8">
        <f>$B$14-I299</f>
        <v/>
      </c>
      <c r="K299" s="8">
        <f>F299-J299</f>
        <v/>
      </c>
    </row>
    <row r="300">
      <c r="A300" t="n">
        <v>304</v>
      </c>
      <c r="B300" s="10">
        <f>MIN(DATE(YEAR($E$3),MONTH($E$3)+A300*$E$4,MIN($E$5,DAY(EOMONTH(DATE(YEAR($E$3),MONTH($E$3)+A300*$E$4,1),0)))),$B$6)</f>
        <v/>
      </c>
      <c r="C300" t="inlineStr">
        <is>
          <t>проценты, тело</t>
        </is>
      </c>
      <c r="D300">
        <f>B300-B299</f>
        <v/>
      </c>
      <c r="E300" s="11">
        <f>IF(YEAR(B299)=YEAR(B300),(B300-B299)/(DATE(YEAR(B299)+1,1,1)-DATE(YEAR(B299),1,1)),(DATE(YEAR(B299)+1,1,1)-B299)/(DATE(YEAR(B299)+1,1,1)-DATE(YEAR(B299),1,1))+(B300-DATE(YEAR(B300),1,1))/(DATE(YEAR(B300)+1,1,1)-DATE(YEAR(B300),1,1))+YEAR(B300)-YEAR(B299)-1)</f>
        <v/>
      </c>
      <c r="F300" s="8">
        <f>K299</f>
        <v/>
      </c>
      <c r="G300" s="7">
        <f>$B$10</f>
        <v/>
      </c>
      <c r="H300" s="8">
        <f>F300*G300*E300</f>
        <v/>
      </c>
      <c r="I300" s="8">
        <f>SUM(H300:H300)</f>
        <v/>
      </c>
      <c r="J300" s="8">
        <f>$B$14-I300</f>
        <v/>
      </c>
      <c r="K300" s="8">
        <f>F300-J300</f>
        <v/>
      </c>
    </row>
    <row r="301">
      <c r="A301" t="n">
        <v>305</v>
      </c>
      <c r="B301" s="10">
        <f>MIN(DATE(YEAR($E$3),MONTH($E$3)+A301*$E$4,MIN($E$5,DAY(EOMONTH(DATE(YEAR($E$3),MONTH($E$3)+A301*$E$4,1),0)))),$B$6)</f>
        <v/>
      </c>
      <c r="C301" t="inlineStr">
        <is>
          <t>проценты, тело</t>
        </is>
      </c>
      <c r="D301">
        <f>B301-B300</f>
        <v/>
      </c>
      <c r="E301" s="11">
        <f>IF(YEAR(B300)=YEAR(B301),(B301-B300)/(DATE(YEAR(B300)+1,1,1)-DATE(YEAR(B300),1,1)),(DATE(YEAR(B300)+1,1,1)-B300)/(DATE(YEAR(B300)+1,1,1)-DATE(YEAR(B300),1,1))+(B301-DATE(YEAR(B301),1,1))/(DATE(YEAR(B301)+1,1,1)-DATE(YEAR(B301),1,1))+YEAR(B301)-YEAR(B300)-1)</f>
        <v/>
      </c>
      <c r="F301" s="8">
        <f>K300</f>
        <v/>
      </c>
      <c r="G301" s="7">
        <f>$B$10</f>
        <v/>
      </c>
      <c r="H301" s="8">
        <f>F301*G301*E301</f>
        <v/>
      </c>
      <c r="I301" s="8">
        <f>SUM(H301:H301)</f>
        <v/>
      </c>
      <c r="J301" s="8">
        <f>$B$14-I301</f>
        <v/>
      </c>
      <c r="K301" s="8">
        <f>F301-J301</f>
        <v/>
      </c>
    </row>
    <row r="302">
      <c r="A302" t="n">
        <v>306</v>
      </c>
      <c r="B302" s="10">
        <f>MIN(DATE(YEAR($E$3),MONTH($E$3)+A302*$E$4,MIN($E$5,DAY(EOMONTH(DATE(YEAR($E$3),MONTH($E$3)+A302*$E$4,1),0)))),$B$6)</f>
        <v/>
      </c>
      <c r="C302" t="inlineStr">
        <is>
          <t>проценты, тело</t>
        </is>
      </c>
      <c r="D302">
        <f>B302-B301</f>
        <v/>
      </c>
      <c r="E302" s="11">
        <f>IF(YEAR(B301)=YEAR(B302),(B302-B301)/(DATE(YEAR(B301)+1,1,1)-DATE(YEAR(B301),1,1)),(DATE(YEAR(B301)+1,1,1)-B301)/(DATE(YEAR(B301)+1,1,1)-DATE(YEAR(B301),1,1))+(B302-DATE(YEAR(B302),1,1))/(DATE(YEAR(B302)+1,1,1)-DATE(YEAR(B302),1,1))+YEAR(B302)-YEAR(B301)-1)</f>
        <v/>
      </c>
      <c r="F302" s="8">
        <f>K301</f>
        <v/>
      </c>
      <c r="G302" s="7">
        <f>$B$10</f>
        <v/>
      </c>
      <c r="H302" s="8">
        <f>F302*G302*E302</f>
        <v/>
      </c>
      <c r="I302" s="8">
        <f>SUM(H302:H302)</f>
        <v/>
      </c>
      <c r="J302" s="8">
        <f>$B$14-I302</f>
        <v/>
      </c>
      <c r="K302" s="8">
        <f>F302-J302</f>
        <v/>
      </c>
    </row>
    <row r="303">
      <c r="A303" t="n">
        <v>307</v>
      </c>
      <c r="B303" s="10">
        <f>MIN(DATE(YEAR($E$3),MONTH($E$3)+A303*$E$4,MIN($E$5,DAY(EOMONTH(DATE(YEAR($E$3),MONTH($E$3)+A303*$E$4,1),0)))),$B$6)</f>
        <v/>
      </c>
      <c r="C303" t="inlineStr">
        <is>
          <t>проценты, тело</t>
        </is>
      </c>
      <c r="D303">
        <f>B303-B302</f>
        <v/>
      </c>
      <c r="E303" s="11">
        <f>IF(YEAR(B302)=YEAR(B303),(B303-B302)/(DATE(YEAR(B302)+1,1,1)-DATE(YEAR(B302),1,1)),(DATE(YEAR(B302)+1,1,1)-B302)/(DATE(YEAR(B302)+1,1,1)-DATE(YEAR(B302),1,1))+(B303-DATE(YEAR(B303),1,1))/(DATE(YEAR(B303)+1,1,1)-DATE(YEAR(B303),1,1))+YEAR(B303)-YEAR(B302)-1)</f>
        <v/>
      </c>
      <c r="F303" s="8">
        <f>K302</f>
        <v/>
      </c>
      <c r="G303" s="7">
        <f>$B$10</f>
        <v/>
      </c>
      <c r="H303" s="8">
        <f>F303*G303*E303</f>
        <v/>
      </c>
      <c r="I303" s="8">
        <f>SUM(H303:H303)</f>
        <v/>
      </c>
      <c r="J303" s="8">
        <f>$B$14-I303</f>
        <v/>
      </c>
      <c r="K303" s="8">
        <f>F303-J303</f>
        <v/>
      </c>
    </row>
    <row r="304">
      <c r="A304" t="n">
        <v>308</v>
      </c>
      <c r="B304" s="10">
        <f>MIN(DATE(YEAR($E$3),MONTH($E$3)+A304*$E$4,MIN($E$5,DAY(EOMONTH(DATE(YEAR($E$3),MONTH($E$3)+A304*$E$4,1),0)))),$B$6)</f>
        <v/>
      </c>
      <c r="C304" t="inlineStr">
        <is>
          <t>проценты, тело</t>
        </is>
      </c>
      <c r="D304">
        <f>B304-B303</f>
        <v/>
      </c>
      <c r="E304" s="11">
        <f>IF(YEAR(B303)=YEAR(B304),(B304-B303)/(DATE(YEAR(B303)+1,1,1)-DATE(YEAR(B303),1,1)),(DATE(YEAR(B303)+1,1,1)-B303)/(DATE(YEAR(B303)+1,1,1)-DATE(YEAR(B303),1,1))+(B304-DATE(YEAR(B304),1,1))/(DATE(YEAR(B304)+1,1,1)-DATE(YEAR(B304),1,1))+YEAR(B304)-YEAR(B303)-1)</f>
        <v/>
      </c>
      <c r="F304" s="8">
        <f>K303</f>
        <v/>
      </c>
      <c r="G304" s="7">
        <f>$B$10</f>
        <v/>
      </c>
      <c r="H304" s="8">
        <f>F304*G304*E304</f>
        <v/>
      </c>
      <c r="I304" s="8">
        <f>SUM(H304:H304)</f>
        <v/>
      </c>
      <c r="J304" s="8">
        <f>$B$14-I304</f>
        <v/>
      </c>
      <c r="K304" s="8">
        <f>F304-J304</f>
        <v/>
      </c>
    </row>
    <row r="305">
      <c r="A305" t="n">
        <v>309</v>
      </c>
      <c r="B305" s="10">
        <f>MIN(DATE(YEAR($E$3),MONTH($E$3)+A305*$E$4,MIN($E$5,DAY(EOMONTH(DATE(YEAR($E$3),MONTH($E$3)+A305*$E$4,1),0)))),$B$6)</f>
        <v/>
      </c>
      <c r="C305" t="inlineStr">
        <is>
          <t>проценты, тело</t>
        </is>
      </c>
      <c r="D305">
        <f>B305-B304</f>
        <v/>
      </c>
      <c r="E305" s="11">
        <f>IF(YEAR(B304)=YEAR(B305),(B305-B304)/(DATE(YEAR(B304)+1,1,1)-DATE(YEAR(B304),1,1)),(DATE(YEAR(B304)+1,1,1)-B304)/(DATE(YEAR(B304)+1,1,1)-DATE(YEAR(B304),1,1))+(B305-DATE(YEAR(B305),1,1))/(DATE(YEAR(B305)+1,1,1)-DATE(YEAR(B305),1,1))+YEAR(B305)-YEAR(B304)-1)</f>
        <v/>
      </c>
      <c r="F305" s="8">
        <f>K304</f>
        <v/>
      </c>
      <c r="G305" s="7">
        <f>$B$10</f>
        <v/>
      </c>
      <c r="H305" s="8">
        <f>F305*G305*E305</f>
        <v/>
      </c>
      <c r="I305" s="8">
        <f>SUM(H305:H305)</f>
        <v/>
      </c>
      <c r="J305" s="8">
        <f>$B$14-I305</f>
        <v/>
      </c>
      <c r="K305" s="8">
        <f>F305-J305</f>
        <v/>
      </c>
    </row>
    <row r="306">
      <c r="A306" t="n">
        <v>310</v>
      </c>
      <c r="B306" s="10">
        <f>MIN(DATE(YEAR($E$3),MONTH($E$3)+A306*$E$4,MIN($E$5,DAY(EOMONTH(DATE(YEAR($E$3),MONTH($E$3)+A306*$E$4,1),0)))),$B$6)</f>
        <v/>
      </c>
      <c r="C306" t="inlineStr">
        <is>
          <t>проценты, тело</t>
        </is>
      </c>
      <c r="D306">
        <f>B306-B305</f>
        <v/>
      </c>
      <c r="E306" s="11">
        <f>IF(YEAR(B305)=YEAR(B306),(B306-B305)/(DATE(YEAR(B305)+1,1,1)-DATE(YEAR(B305),1,1)),(DATE(YEAR(B305)+1,1,1)-B305)/(DATE(YEAR(B305)+1,1,1)-DATE(YEAR(B305),1,1))+(B306-DATE(YEAR(B306),1,1))/(DATE(YEAR(B306)+1,1,1)-DATE(YEAR(B306),1,1))+YEAR(B306)-YEAR(B305)-1)</f>
        <v/>
      </c>
      <c r="F306" s="8">
        <f>K305</f>
        <v/>
      </c>
      <c r="G306" s="7">
        <f>$B$10</f>
        <v/>
      </c>
      <c r="H306" s="8">
        <f>F306*G306*E306</f>
        <v/>
      </c>
      <c r="I306" s="8">
        <f>SUM(H306:H306)</f>
        <v/>
      </c>
      <c r="J306" s="8">
        <f>$B$14-I306</f>
        <v/>
      </c>
      <c r="K306" s="8">
        <f>F306-J306</f>
        <v/>
      </c>
    </row>
    <row r="307">
      <c r="A307" t="n">
        <v>311</v>
      </c>
      <c r="B307" s="10">
        <f>MIN(DATE(YEAR($E$3),MONTH($E$3)+A307*$E$4,MIN($E$5,DAY(EOMONTH(DATE(YEAR($E$3),MONTH($E$3)+A307*$E$4,1),0)))),$B$6)</f>
        <v/>
      </c>
      <c r="C307" t="inlineStr">
        <is>
          <t>проценты, тело</t>
        </is>
      </c>
      <c r="D307">
        <f>B307-B306</f>
        <v/>
      </c>
      <c r="E307" s="11">
        <f>IF(YEAR(B306)=YEAR(B307),(B307-B306)/(DATE(YEAR(B306)+1,1,1)-DATE(YEAR(B306),1,1)),(DATE(YEAR(B306)+1,1,1)-B306)/(DATE(YEAR(B306)+1,1,1)-DATE(YEAR(B306),1,1))+(B307-DATE(YEAR(B307),1,1))/(DATE(YEAR(B307)+1,1,1)-DATE(YEAR(B307),1,1))+YEAR(B307)-YEAR(B306)-1)</f>
        <v/>
      </c>
      <c r="F307" s="8">
        <f>K306</f>
        <v/>
      </c>
      <c r="G307" s="7">
        <f>$B$10</f>
        <v/>
      </c>
      <c r="H307" s="8">
        <f>F307*G307*E307</f>
        <v/>
      </c>
      <c r="I307" s="8">
        <f>SUM(H307:H307)</f>
        <v/>
      </c>
      <c r="J307" s="8">
        <f>$B$14-I307</f>
        <v/>
      </c>
      <c r="K307" s="8">
        <f>F307-J307</f>
        <v/>
      </c>
    </row>
    <row r="308">
      <c r="A308" t="n">
        <v>312</v>
      </c>
      <c r="B308" s="10">
        <f>MIN(DATE(YEAR($E$3),MONTH($E$3)+A308*$E$4,MIN($E$5,DAY(EOMONTH(DATE(YEAR($E$3),MONTH($E$3)+A308*$E$4,1),0)))),$B$6)</f>
        <v/>
      </c>
      <c r="C308" t="inlineStr">
        <is>
          <t>проценты, тело</t>
        </is>
      </c>
      <c r="D308">
        <f>B308-B307</f>
        <v/>
      </c>
      <c r="E308" s="11">
        <f>IF(YEAR(B307)=YEAR(B308),(B308-B307)/(DATE(YEAR(B307)+1,1,1)-DATE(YEAR(B307),1,1)),(DATE(YEAR(B307)+1,1,1)-B307)/(DATE(YEAR(B307)+1,1,1)-DATE(YEAR(B307),1,1))+(B308-DATE(YEAR(B308),1,1))/(DATE(YEAR(B308)+1,1,1)-DATE(YEAR(B308),1,1))+YEAR(B308)-YEAR(B307)-1)</f>
        <v/>
      </c>
      <c r="F308" s="8">
        <f>K307</f>
        <v/>
      </c>
      <c r="G308" s="7">
        <f>$B$10</f>
        <v/>
      </c>
      <c r="H308" s="8">
        <f>F308*G308*E308</f>
        <v/>
      </c>
      <c r="I308" s="8">
        <f>SUM(H308:H308)</f>
        <v/>
      </c>
      <c r="J308" s="8">
        <f>$B$14-I308</f>
        <v/>
      </c>
      <c r="K308" s="8">
        <f>F308-J308</f>
        <v/>
      </c>
    </row>
    <row r="309">
      <c r="A309" t="n">
        <v>313</v>
      </c>
      <c r="B309" s="10">
        <f>MIN(DATE(YEAR($E$3),MONTH($E$3)+A309*$E$4,MIN($E$5,DAY(EOMONTH(DATE(YEAR($E$3),MONTH($E$3)+A309*$E$4,1),0)))),$B$6)</f>
        <v/>
      </c>
      <c r="C309" t="inlineStr">
        <is>
          <t>проценты, тело</t>
        </is>
      </c>
      <c r="D309">
        <f>B309-B308</f>
        <v/>
      </c>
      <c r="E309" s="11">
        <f>IF(YEAR(B308)=YEAR(B309),(B309-B308)/(DATE(YEAR(B308)+1,1,1)-DATE(YEAR(B308),1,1)),(DATE(YEAR(B308)+1,1,1)-B308)/(DATE(YEAR(B308)+1,1,1)-DATE(YEAR(B308),1,1))+(B309-DATE(YEAR(B309),1,1))/(DATE(YEAR(B309)+1,1,1)-DATE(YEAR(B309),1,1))+YEAR(B309)-YEAR(B308)-1)</f>
        <v/>
      </c>
      <c r="F309" s="8">
        <f>K308</f>
        <v/>
      </c>
      <c r="G309" s="7">
        <f>$B$10</f>
        <v/>
      </c>
      <c r="H309" s="8">
        <f>F309*G309*E309</f>
        <v/>
      </c>
      <c r="I309" s="8">
        <f>SUM(H309:H309)</f>
        <v/>
      </c>
      <c r="J309" s="8">
        <f>$B$14-I309</f>
        <v/>
      </c>
      <c r="K309" s="8">
        <f>F309-J309</f>
        <v/>
      </c>
    </row>
    <row r="310">
      <c r="A310" t="n">
        <v>314</v>
      </c>
      <c r="B310" s="10">
        <f>MIN(DATE(YEAR($E$3),MONTH($E$3)+A310*$E$4,MIN($E$5,DAY(EOMONTH(DATE(YEAR($E$3),MONTH($E$3)+A310*$E$4,1),0)))),$B$6)</f>
        <v/>
      </c>
      <c r="C310" t="inlineStr">
        <is>
          <t>проценты, тело</t>
        </is>
      </c>
      <c r="D310">
        <f>B310-B309</f>
        <v/>
      </c>
      <c r="E310" s="11">
        <f>IF(YEAR(B309)=YEAR(B310),(B310-B309)/(DATE(YEAR(B309)+1,1,1)-DATE(YEAR(B309),1,1)),(DATE(YEAR(B309)+1,1,1)-B309)/(DATE(YEAR(B309)+1,1,1)-DATE(YEAR(B309),1,1))+(B310-DATE(YEAR(B310),1,1))/(DATE(YEAR(B310)+1,1,1)-DATE(YEAR(B310),1,1))+YEAR(B310)-YEAR(B309)-1)</f>
        <v/>
      </c>
      <c r="F310" s="8">
        <f>K309</f>
        <v/>
      </c>
      <c r="G310" s="7">
        <f>$B$10</f>
        <v/>
      </c>
      <c r="H310" s="8">
        <f>F310*G310*E310</f>
        <v/>
      </c>
      <c r="I310" s="8">
        <f>SUM(H310:H310)</f>
        <v/>
      </c>
      <c r="J310" s="8">
        <f>$B$14-I310</f>
        <v/>
      </c>
      <c r="K310" s="8">
        <f>F310-J310</f>
        <v/>
      </c>
    </row>
    <row r="311">
      <c r="A311" t="n">
        <v>315</v>
      </c>
      <c r="B311" s="10">
        <f>MIN(DATE(YEAR($E$3),MONTH($E$3)+A311*$E$4,MIN($E$5,DAY(EOMONTH(DATE(YEAR($E$3),MONTH($E$3)+A311*$E$4,1),0)))),$B$6)</f>
        <v/>
      </c>
      <c r="C311" t="inlineStr">
        <is>
          <t>проценты, тело</t>
        </is>
      </c>
      <c r="D311">
        <f>B311-B310</f>
        <v/>
      </c>
      <c r="E311" s="11">
        <f>IF(YEAR(B310)=YEAR(B311),(B311-B310)/(DATE(YEAR(B310)+1,1,1)-DATE(YEAR(B310),1,1)),(DATE(YEAR(B310)+1,1,1)-B310)/(DATE(YEAR(B310)+1,1,1)-DATE(YEAR(B310),1,1))+(B311-DATE(YEAR(B311),1,1))/(DATE(YEAR(B311)+1,1,1)-DATE(YEAR(B311),1,1))+YEAR(B311)-YEAR(B310)-1)</f>
        <v/>
      </c>
      <c r="F311" s="8">
        <f>K310</f>
        <v/>
      </c>
      <c r="G311" s="7">
        <f>$B$10</f>
        <v/>
      </c>
      <c r="H311" s="8">
        <f>F311*G311*E311</f>
        <v/>
      </c>
      <c r="I311" s="8">
        <f>SUM(H311:H311)</f>
        <v/>
      </c>
      <c r="J311" s="8">
        <f>$B$14-I311</f>
        <v/>
      </c>
      <c r="K311" s="8">
        <f>F311-J311</f>
        <v/>
      </c>
    </row>
    <row r="312">
      <c r="A312" t="n">
        <v>316</v>
      </c>
      <c r="B312" s="10">
        <f>MIN(DATE(YEAR($E$3),MONTH($E$3)+A312*$E$4,MIN($E$5,DAY(EOMONTH(DATE(YEAR($E$3),MONTH($E$3)+A312*$E$4,1),0)))),$B$6)</f>
        <v/>
      </c>
      <c r="C312" t="inlineStr">
        <is>
          <t>проценты, тело</t>
        </is>
      </c>
      <c r="D312">
        <f>B312-B311</f>
        <v/>
      </c>
      <c r="E312" s="11">
        <f>IF(YEAR(B311)=YEAR(B312),(B312-B311)/(DATE(YEAR(B311)+1,1,1)-DATE(YEAR(B311),1,1)),(DATE(YEAR(B311)+1,1,1)-B311)/(DATE(YEAR(B311)+1,1,1)-DATE(YEAR(B311),1,1))+(B312-DATE(YEAR(B312),1,1))/(DATE(YEAR(B312)+1,1,1)-DATE(YEAR(B312),1,1))+YEAR(B312)-YEAR(B311)-1)</f>
        <v/>
      </c>
      <c r="F312" s="8">
        <f>K311</f>
        <v/>
      </c>
      <c r="G312" s="7">
        <f>$B$10</f>
        <v/>
      </c>
      <c r="H312" s="8">
        <f>F312*G312*E312</f>
        <v/>
      </c>
      <c r="I312" s="8">
        <f>SUM(H312:H312)</f>
        <v/>
      </c>
      <c r="J312" s="8">
        <f>$B$14-I312</f>
        <v/>
      </c>
      <c r="K312" s="8">
        <f>F312-J312</f>
        <v/>
      </c>
    </row>
    <row r="313">
      <c r="A313" t="n">
        <v>317</v>
      </c>
      <c r="B313" s="10">
        <f>MIN(DATE(YEAR($E$3),MONTH($E$3)+A313*$E$4,MIN($E$5,DAY(EOMONTH(DATE(YEAR($E$3),MONTH($E$3)+A313*$E$4,1),0)))),$B$6)</f>
        <v/>
      </c>
      <c r="C313" t="inlineStr">
        <is>
          <t>проценты, тело</t>
        </is>
      </c>
      <c r="D313">
        <f>B313-B312</f>
        <v/>
      </c>
      <c r="E313" s="11">
        <f>IF(YEAR(B312)=YEAR(B313),(B313-B312)/(DATE(YEAR(B312)+1,1,1)-DATE(YEAR(B312),1,1)),(DATE(YEAR(B312)+1,1,1)-B312)/(DATE(YEAR(B312)+1,1,1)-DATE(YEAR(B312),1,1))+(B313-DATE(YEAR(B313),1,1))/(DATE(YEAR(B313)+1,1,1)-DATE(YEAR(B313),1,1))+YEAR(B313)-YEAR(B312)-1)</f>
        <v/>
      </c>
      <c r="F313" s="8">
        <f>K312</f>
        <v/>
      </c>
      <c r="G313" s="7">
        <f>$B$10</f>
        <v/>
      </c>
      <c r="H313" s="8">
        <f>F313*G313*E313</f>
        <v/>
      </c>
      <c r="I313" s="8">
        <f>SUM(H313:H313)</f>
        <v/>
      </c>
      <c r="J313" s="8">
        <f>$B$14-I313</f>
        <v/>
      </c>
      <c r="K313" s="8">
        <f>F313-J313</f>
        <v/>
      </c>
    </row>
    <row r="314">
      <c r="A314" t="n">
        <v>318</v>
      </c>
      <c r="B314" s="10">
        <f>MIN(DATE(YEAR($E$3),MONTH($E$3)+A314*$E$4,MIN($E$5,DAY(EOMONTH(DATE(YEAR($E$3),MONTH($E$3)+A314*$E$4,1),0)))),$B$6)</f>
        <v/>
      </c>
      <c r="C314" t="inlineStr">
        <is>
          <t>проценты, тело</t>
        </is>
      </c>
      <c r="D314">
        <f>B314-B313</f>
        <v/>
      </c>
      <c r="E314" s="11">
        <f>IF(YEAR(B313)=YEAR(B314),(B314-B313)/(DATE(YEAR(B313)+1,1,1)-DATE(YEAR(B313),1,1)),(DATE(YEAR(B313)+1,1,1)-B313)/(DATE(YEAR(B313)+1,1,1)-DATE(YEAR(B313),1,1))+(B314-DATE(YEAR(B314),1,1))/(DATE(YEAR(B314)+1,1,1)-DATE(YEAR(B314),1,1))+YEAR(B314)-YEAR(B313)-1)</f>
        <v/>
      </c>
      <c r="F314" s="8">
        <f>K313</f>
        <v/>
      </c>
      <c r="G314" s="7">
        <f>$B$10</f>
        <v/>
      </c>
      <c r="H314" s="8">
        <f>F314*G314*E314</f>
        <v/>
      </c>
      <c r="I314" s="8">
        <f>SUM(H314:H314)</f>
        <v/>
      </c>
      <c r="J314" s="8">
        <f>$B$14-I314</f>
        <v/>
      </c>
      <c r="K314" s="8">
        <f>F314-J314</f>
        <v/>
      </c>
    </row>
    <row r="315">
      <c r="A315" t="n">
        <v>319</v>
      </c>
      <c r="B315" s="10">
        <f>MIN(DATE(YEAR($E$3),MONTH($E$3)+A315*$E$4,MIN($E$5,DAY(EOMONTH(DATE(YEAR($E$3),MONTH($E$3)+A315*$E$4,1),0)))),$B$6)</f>
        <v/>
      </c>
      <c r="C315" t="inlineStr">
        <is>
          <t>проценты, тело</t>
        </is>
      </c>
      <c r="D315">
        <f>B315-B314</f>
        <v/>
      </c>
      <c r="E315" s="11">
        <f>IF(YEAR(B314)=YEAR(B315),(B315-B314)/(DATE(YEAR(B314)+1,1,1)-DATE(YEAR(B314),1,1)),(DATE(YEAR(B314)+1,1,1)-B314)/(DATE(YEAR(B314)+1,1,1)-DATE(YEAR(B314),1,1))+(B315-DATE(YEAR(B315),1,1))/(DATE(YEAR(B315)+1,1,1)-DATE(YEAR(B315),1,1))+YEAR(B315)-YEAR(B314)-1)</f>
        <v/>
      </c>
      <c r="F315" s="8">
        <f>K314</f>
        <v/>
      </c>
      <c r="G315" s="7">
        <f>$B$10</f>
        <v/>
      </c>
      <c r="H315" s="8">
        <f>F315*G315*E315</f>
        <v/>
      </c>
      <c r="I315" s="8">
        <f>SUM(H315:H315)</f>
        <v/>
      </c>
      <c r="J315" s="8">
        <f>$B$14-I315</f>
        <v/>
      </c>
      <c r="K315" s="8">
        <f>F315-J315</f>
        <v/>
      </c>
    </row>
    <row r="316">
      <c r="A316" t="n">
        <v>320</v>
      </c>
      <c r="B316" s="10">
        <f>MIN(DATE(YEAR($E$3),MONTH($E$3)+A316*$E$4,MIN($E$5,DAY(EOMONTH(DATE(YEAR($E$3),MONTH($E$3)+A316*$E$4,1),0)))),$B$6)</f>
        <v/>
      </c>
      <c r="C316" t="inlineStr">
        <is>
          <t>проценты, тело</t>
        </is>
      </c>
      <c r="D316">
        <f>B316-B315</f>
        <v/>
      </c>
      <c r="E316" s="11">
        <f>IF(YEAR(B315)=YEAR(B316),(B316-B315)/(DATE(YEAR(B315)+1,1,1)-DATE(YEAR(B315),1,1)),(DATE(YEAR(B315)+1,1,1)-B315)/(DATE(YEAR(B315)+1,1,1)-DATE(YEAR(B315),1,1))+(B316-DATE(YEAR(B316),1,1))/(DATE(YEAR(B316)+1,1,1)-DATE(YEAR(B316),1,1))+YEAR(B316)-YEAR(B315)-1)</f>
        <v/>
      </c>
      <c r="F316" s="8">
        <f>K315</f>
        <v/>
      </c>
      <c r="G316" s="7">
        <f>$B$10</f>
        <v/>
      </c>
      <c r="H316" s="8">
        <f>F316*G316*E316</f>
        <v/>
      </c>
      <c r="I316" s="8">
        <f>SUM(H316:H316)</f>
        <v/>
      </c>
      <c r="J316" s="8">
        <f>$B$14-I316</f>
        <v/>
      </c>
      <c r="K316" s="8">
        <f>F316-J316</f>
        <v/>
      </c>
    </row>
    <row r="317">
      <c r="A317" t="n">
        <v>321</v>
      </c>
      <c r="B317" s="10">
        <f>MIN(DATE(YEAR($E$3),MONTH($E$3)+A317*$E$4,MIN($E$5,DAY(EOMONTH(DATE(YEAR($E$3),MONTH($E$3)+A317*$E$4,1),0)))),$B$6)</f>
        <v/>
      </c>
      <c r="C317" t="inlineStr">
        <is>
          <t>проценты, тело</t>
        </is>
      </c>
      <c r="D317">
        <f>B317-B316</f>
        <v/>
      </c>
      <c r="E317" s="11">
        <f>IF(YEAR(B316)=YEAR(B317),(B317-B316)/(DATE(YEAR(B316)+1,1,1)-DATE(YEAR(B316),1,1)),(DATE(YEAR(B316)+1,1,1)-B316)/(DATE(YEAR(B316)+1,1,1)-DATE(YEAR(B316),1,1))+(B317-DATE(YEAR(B317),1,1))/(DATE(YEAR(B317)+1,1,1)-DATE(YEAR(B317),1,1))+YEAR(B317)-YEAR(B316)-1)</f>
        <v/>
      </c>
      <c r="F317" s="8">
        <f>K316</f>
        <v/>
      </c>
      <c r="G317" s="7">
        <f>$B$10</f>
        <v/>
      </c>
      <c r="H317" s="8">
        <f>F317*G317*E317</f>
        <v/>
      </c>
      <c r="I317" s="8">
        <f>SUM(H317:H317)</f>
        <v/>
      </c>
      <c r="J317" s="8">
        <f>$B$14-I317</f>
        <v/>
      </c>
      <c r="K317" s="8">
        <f>F317-J317</f>
        <v/>
      </c>
    </row>
    <row r="318">
      <c r="A318" t="n">
        <v>322</v>
      </c>
      <c r="B318" s="10">
        <f>MIN(DATE(YEAR($E$3),MONTH($E$3)+A318*$E$4,MIN($E$5,DAY(EOMONTH(DATE(YEAR($E$3),MONTH($E$3)+A318*$E$4,1),0)))),$B$6)</f>
        <v/>
      </c>
      <c r="C318" t="inlineStr">
        <is>
          <t>проценты, тело</t>
        </is>
      </c>
      <c r="D318">
        <f>B318-B317</f>
        <v/>
      </c>
      <c r="E318" s="11">
        <f>IF(YEAR(B317)=YEAR(B318),(B318-B317)/(DATE(YEAR(B317)+1,1,1)-DATE(YEAR(B317),1,1)),(DATE(YEAR(B317)+1,1,1)-B317)/(DATE(YEAR(B317)+1,1,1)-DATE(YEAR(B317),1,1))+(B318-DATE(YEAR(B318),1,1))/(DATE(YEAR(B318)+1,1,1)-DATE(YEAR(B318),1,1))+YEAR(B318)-YEAR(B317)-1)</f>
        <v/>
      </c>
      <c r="F318" s="8">
        <f>K317</f>
        <v/>
      </c>
      <c r="G318" s="7">
        <f>$B$10</f>
        <v/>
      </c>
      <c r="H318" s="8">
        <f>F318*G318*E318</f>
        <v/>
      </c>
      <c r="I318" s="8">
        <f>SUM(H318:H318)</f>
        <v/>
      </c>
      <c r="J318" s="8">
        <f>$B$14-I318</f>
        <v/>
      </c>
      <c r="K318" s="8">
        <f>F318-J318</f>
        <v/>
      </c>
    </row>
    <row r="319">
      <c r="A319" t="n">
        <v>323</v>
      </c>
      <c r="B319" s="10">
        <f>MIN(DATE(YEAR($E$3),MONTH($E$3)+A319*$E$4,MIN($E$5,DAY(EOMONTH(DATE(YEAR($E$3),MONTH($E$3)+A319*$E$4,1),0)))),$B$6)</f>
        <v/>
      </c>
      <c r="C319" t="inlineStr">
        <is>
          <t>проценты, тело</t>
        </is>
      </c>
      <c r="D319">
        <f>B319-B318</f>
        <v/>
      </c>
      <c r="E319" s="11">
        <f>IF(YEAR(B318)=YEAR(B319),(B319-B318)/(DATE(YEAR(B318)+1,1,1)-DATE(YEAR(B318),1,1)),(DATE(YEAR(B318)+1,1,1)-B318)/(DATE(YEAR(B318)+1,1,1)-DATE(YEAR(B318),1,1))+(B319-DATE(YEAR(B319),1,1))/(DATE(YEAR(B319)+1,1,1)-DATE(YEAR(B319),1,1))+YEAR(B319)-YEAR(B318)-1)</f>
        <v/>
      </c>
      <c r="F319" s="8">
        <f>K318</f>
        <v/>
      </c>
      <c r="G319" s="7">
        <f>$B$10</f>
        <v/>
      </c>
      <c r="H319" s="8">
        <f>F319*G319*E319</f>
        <v/>
      </c>
      <c r="I319" s="8">
        <f>SUM(H319:H319)</f>
        <v/>
      </c>
      <c r="J319" s="8">
        <f>$B$14-I319</f>
        <v/>
      </c>
      <c r="K319" s="8">
        <f>F319-J319</f>
        <v/>
      </c>
    </row>
    <row r="320">
      <c r="A320" t="n">
        <v>324</v>
      </c>
      <c r="B320" s="10">
        <f>MIN(DATE(YEAR($E$3),MONTH($E$3)+A320*$E$4,MIN($E$5,DAY(EOMONTH(DATE(YEAR($E$3),MONTH($E$3)+A320*$E$4,1),0)))),$B$6)</f>
        <v/>
      </c>
      <c r="C320" t="inlineStr">
        <is>
          <t>проценты, тело</t>
        </is>
      </c>
      <c r="D320">
        <f>B320-B319</f>
        <v/>
      </c>
      <c r="E320" s="11">
        <f>IF(YEAR(B319)=YEAR(B320),(B320-B319)/(DATE(YEAR(B319)+1,1,1)-DATE(YEAR(B319),1,1)),(DATE(YEAR(B319)+1,1,1)-B319)/(DATE(YEAR(B319)+1,1,1)-DATE(YEAR(B319),1,1))+(B320-DATE(YEAR(B320),1,1))/(DATE(YEAR(B320)+1,1,1)-DATE(YEAR(B320),1,1))+YEAR(B320)-YEAR(B319)-1)</f>
        <v/>
      </c>
      <c r="F320" s="8">
        <f>K319</f>
        <v/>
      </c>
      <c r="G320" s="7">
        <f>$B$10</f>
        <v/>
      </c>
      <c r="H320" s="8">
        <f>F320*G320*E320</f>
        <v/>
      </c>
      <c r="I320" s="8">
        <f>SUM(H320:H320)</f>
        <v/>
      </c>
      <c r="J320" s="8">
        <f>$B$14-I320</f>
        <v/>
      </c>
      <c r="K320" s="8">
        <f>F320-J320</f>
        <v/>
      </c>
    </row>
    <row r="321">
      <c r="A321" t="n">
        <v>325</v>
      </c>
      <c r="B321" s="10">
        <f>MIN(DATE(YEAR($E$3),MONTH($E$3)+A321*$E$4,MIN($E$5,DAY(EOMONTH(DATE(YEAR($E$3),MONTH($E$3)+A321*$E$4,1),0)))),$B$6)</f>
        <v/>
      </c>
      <c r="C321" t="inlineStr">
        <is>
          <t>проценты, тело</t>
        </is>
      </c>
      <c r="D321">
        <f>B321-B320</f>
        <v/>
      </c>
      <c r="E321" s="11">
        <f>IF(YEAR(B320)=YEAR(B321),(B321-B320)/(DATE(YEAR(B320)+1,1,1)-DATE(YEAR(B320),1,1)),(DATE(YEAR(B320)+1,1,1)-B320)/(DATE(YEAR(B320)+1,1,1)-DATE(YEAR(B320),1,1))+(B321-DATE(YEAR(B321),1,1))/(DATE(YEAR(B321)+1,1,1)-DATE(YEAR(B321),1,1))+YEAR(B321)-YEAR(B320)-1)</f>
        <v/>
      </c>
      <c r="F321" s="8">
        <f>K320</f>
        <v/>
      </c>
      <c r="G321" s="7">
        <f>$B$10</f>
        <v/>
      </c>
      <c r="H321" s="8">
        <f>F321*G321*E321</f>
        <v/>
      </c>
      <c r="I321" s="8">
        <f>SUM(H321:H321)</f>
        <v/>
      </c>
      <c r="J321" s="8">
        <f>$B$14-I321</f>
        <v/>
      </c>
      <c r="K321" s="8">
        <f>F321-J321</f>
        <v/>
      </c>
    </row>
    <row r="322">
      <c r="A322" t="n">
        <v>326</v>
      </c>
      <c r="B322" s="10">
        <f>MIN(DATE(YEAR($E$3),MONTH($E$3)+A322*$E$4,MIN($E$5,DAY(EOMONTH(DATE(YEAR($E$3),MONTH($E$3)+A322*$E$4,1),0)))),$B$6)</f>
        <v/>
      </c>
      <c r="C322" t="inlineStr">
        <is>
          <t>проценты, тело</t>
        </is>
      </c>
      <c r="D322">
        <f>B322-B321</f>
        <v/>
      </c>
      <c r="E322" s="11">
        <f>IF(YEAR(B321)=YEAR(B322),(B322-B321)/(DATE(YEAR(B321)+1,1,1)-DATE(YEAR(B321),1,1)),(DATE(YEAR(B321)+1,1,1)-B321)/(DATE(YEAR(B321)+1,1,1)-DATE(YEAR(B321),1,1))+(B322-DATE(YEAR(B322),1,1))/(DATE(YEAR(B322)+1,1,1)-DATE(YEAR(B322),1,1))+YEAR(B322)-YEAR(B321)-1)</f>
        <v/>
      </c>
      <c r="F322" s="8">
        <f>K321</f>
        <v/>
      </c>
      <c r="G322" s="7">
        <f>$B$10</f>
        <v/>
      </c>
      <c r="H322" s="8">
        <f>F322*G322*E322</f>
        <v/>
      </c>
      <c r="I322" s="8">
        <f>SUM(H322:H322)</f>
        <v/>
      </c>
      <c r="J322" s="8">
        <f>$B$14-I322</f>
        <v/>
      </c>
      <c r="K322" s="8">
        <f>F322-J322</f>
        <v/>
      </c>
    </row>
    <row r="323">
      <c r="A323" t="n">
        <v>327</v>
      </c>
      <c r="B323" s="10">
        <f>MIN(DATE(YEAR($E$3),MONTH($E$3)+A323*$E$4,MIN($E$5,DAY(EOMONTH(DATE(YEAR($E$3),MONTH($E$3)+A323*$E$4,1),0)))),$B$6)</f>
        <v/>
      </c>
      <c r="C323" t="inlineStr">
        <is>
          <t>проценты, тело</t>
        </is>
      </c>
      <c r="D323">
        <f>B323-B322</f>
        <v/>
      </c>
      <c r="E323" s="11">
        <f>IF(YEAR(B322)=YEAR(B323),(B323-B322)/(DATE(YEAR(B322)+1,1,1)-DATE(YEAR(B322),1,1)),(DATE(YEAR(B322)+1,1,1)-B322)/(DATE(YEAR(B322)+1,1,1)-DATE(YEAR(B322),1,1))+(B323-DATE(YEAR(B323),1,1))/(DATE(YEAR(B323)+1,1,1)-DATE(YEAR(B323),1,1))+YEAR(B323)-YEAR(B322)-1)</f>
        <v/>
      </c>
      <c r="F323" s="8">
        <f>K322</f>
        <v/>
      </c>
      <c r="G323" s="7">
        <f>$B$10</f>
        <v/>
      </c>
      <c r="H323" s="8">
        <f>F323*G323*E323</f>
        <v/>
      </c>
      <c r="I323" s="8">
        <f>SUM(H323:H323)</f>
        <v/>
      </c>
      <c r="J323" s="8">
        <f>$B$14-I323</f>
        <v/>
      </c>
      <c r="K323" s="8">
        <f>F323-J323</f>
        <v/>
      </c>
    </row>
    <row r="324">
      <c r="A324" t="n">
        <v>328</v>
      </c>
      <c r="B324" s="10">
        <f>MIN(DATE(YEAR($E$3),MONTH($E$3)+A324*$E$4,MIN($E$5,DAY(EOMONTH(DATE(YEAR($E$3),MONTH($E$3)+A324*$E$4,1),0)))),$B$6)</f>
        <v/>
      </c>
      <c r="C324" t="inlineStr">
        <is>
          <t>проценты, тело</t>
        </is>
      </c>
      <c r="D324">
        <f>B324-B323</f>
        <v/>
      </c>
      <c r="E324" s="11">
        <f>IF(YEAR(B323)=YEAR(B324),(B324-B323)/(DATE(YEAR(B323)+1,1,1)-DATE(YEAR(B323),1,1)),(DATE(YEAR(B323)+1,1,1)-B323)/(DATE(YEAR(B323)+1,1,1)-DATE(YEAR(B323),1,1))+(B324-DATE(YEAR(B324),1,1))/(DATE(YEAR(B324)+1,1,1)-DATE(YEAR(B324),1,1))+YEAR(B324)-YEAR(B323)-1)</f>
        <v/>
      </c>
      <c r="F324" s="8">
        <f>K323</f>
        <v/>
      </c>
      <c r="G324" s="7">
        <f>$B$10</f>
        <v/>
      </c>
      <c r="H324" s="8">
        <f>F324*G324*E324</f>
        <v/>
      </c>
      <c r="I324" s="8">
        <f>SUM(H324:H324)</f>
        <v/>
      </c>
      <c r="J324" s="8">
        <f>$B$14-I324</f>
        <v/>
      </c>
      <c r="K324" s="8">
        <f>F324-J324</f>
        <v/>
      </c>
    </row>
    <row r="325">
      <c r="A325" t="n">
        <v>329</v>
      </c>
      <c r="B325" s="10">
        <f>MIN(DATE(YEAR($E$3),MONTH($E$3)+A325*$E$4,MIN($E$5,DAY(EOMONTH(DATE(YEAR($E$3),MONTH($E$3)+A325*$E$4,1),0)))),$B$6)</f>
        <v/>
      </c>
      <c r="C325" t="inlineStr">
        <is>
          <t>проценты, тело</t>
        </is>
      </c>
      <c r="D325">
        <f>B325-B324</f>
        <v/>
      </c>
      <c r="E325" s="11">
        <f>IF(YEAR(B324)=YEAR(B325),(B325-B324)/(DATE(YEAR(B324)+1,1,1)-DATE(YEAR(B324),1,1)),(DATE(YEAR(B324)+1,1,1)-B324)/(DATE(YEAR(B324)+1,1,1)-DATE(YEAR(B324),1,1))+(B325-DATE(YEAR(B325),1,1))/(DATE(YEAR(B325)+1,1,1)-DATE(YEAR(B325),1,1))+YEAR(B325)-YEAR(B324)-1)</f>
        <v/>
      </c>
      <c r="F325" s="8">
        <f>K324</f>
        <v/>
      </c>
      <c r="G325" s="7">
        <f>$B$10</f>
        <v/>
      </c>
      <c r="H325" s="8">
        <f>F325*G325*E325</f>
        <v/>
      </c>
      <c r="I325" s="8">
        <f>SUM(H325:H325)</f>
        <v/>
      </c>
      <c r="J325" s="8">
        <f>$B$14-I325</f>
        <v/>
      </c>
      <c r="K325" s="8">
        <f>F325-J325</f>
        <v/>
      </c>
    </row>
    <row r="326">
      <c r="A326" t="n">
        <v>330</v>
      </c>
      <c r="B326" s="10">
        <f>MIN(DATE(YEAR($E$3),MONTH($E$3)+A326*$E$4,MIN($E$5,DAY(EOMONTH(DATE(YEAR($E$3),MONTH($E$3)+A326*$E$4,1),0)))),$B$6)</f>
        <v/>
      </c>
      <c r="C326" t="inlineStr">
        <is>
          <t>проценты, тело</t>
        </is>
      </c>
      <c r="D326">
        <f>B326-B325</f>
        <v/>
      </c>
      <c r="E326" s="11">
        <f>IF(YEAR(B325)=YEAR(B326),(B326-B325)/(DATE(YEAR(B325)+1,1,1)-DATE(YEAR(B325),1,1)),(DATE(YEAR(B325)+1,1,1)-B325)/(DATE(YEAR(B325)+1,1,1)-DATE(YEAR(B325),1,1))+(B326-DATE(YEAR(B326),1,1))/(DATE(YEAR(B326)+1,1,1)-DATE(YEAR(B326),1,1))+YEAR(B326)-YEAR(B325)-1)</f>
        <v/>
      </c>
      <c r="F326" s="8">
        <f>K325</f>
        <v/>
      </c>
      <c r="G326" s="7">
        <f>$B$10</f>
        <v/>
      </c>
      <c r="H326" s="8">
        <f>F326*G326*E326</f>
        <v/>
      </c>
      <c r="I326" s="8">
        <f>SUM(H326:H326)</f>
        <v/>
      </c>
      <c r="J326" s="8">
        <f>$B$14-I326</f>
        <v/>
      </c>
      <c r="K326" s="8">
        <f>F326-J326</f>
        <v/>
      </c>
    </row>
    <row r="327">
      <c r="A327" t="n">
        <v>331</v>
      </c>
      <c r="B327" s="10">
        <f>MIN(DATE(YEAR($E$3),MONTH($E$3)+A327*$E$4,MIN($E$5,DAY(EOMONTH(DATE(YEAR($E$3),MONTH($E$3)+A327*$E$4,1),0)))),$B$6)</f>
        <v/>
      </c>
      <c r="C327" t="inlineStr">
        <is>
          <t>проценты, тело</t>
        </is>
      </c>
      <c r="D327">
        <f>B327-B326</f>
        <v/>
      </c>
      <c r="E327" s="11">
        <f>IF(YEAR(B326)=YEAR(B327),(B327-B326)/(DATE(YEAR(B326)+1,1,1)-DATE(YEAR(B326),1,1)),(DATE(YEAR(B326)+1,1,1)-B326)/(DATE(YEAR(B326)+1,1,1)-DATE(YEAR(B326),1,1))+(B327-DATE(YEAR(B327),1,1))/(DATE(YEAR(B327)+1,1,1)-DATE(YEAR(B327),1,1))+YEAR(B327)-YEAR(B326)-1)</f>
        <v/>
      </c>
      <c r="F327" s="8">
        <f>K326</f>
        <v/>
      </c>
      <c r="G327" s="7">
        <f>$B$10</f>
        <v/>
      </c>
      <c r="H327" s="8">
        <f>F327*G327*E327</f>
        <v/>
      </c>
      <c r="I327" s="8">
        <f>SUM(H327:H327)</f>
        <v/>
      </c>
      <c r="J327" s="8">
        <f>$B$14-I327</f>
        <v/>
      </c>
      <c r="K327" s="8">
        <f>F327-J327</f>
        <v/>
      </c>
    </row>
    <row r="328">
      <c r="A328" t="n">
        <v>332</v>
      </c>
      <c r="B328" s="10">
        <f>MIN(DATE(YEAR($E$3),MONTH($E$3)+A328*$E$4,MIN($E$5,DAY(EOMONTH(DATE(YEAR($E$3),MONTH($E$3)+A328*$E$4,1),0)))),$B$6)</f>
        <v/>
      </c>
      <c r="C328" t="inlineStr">
        <is>
          <t>проценты, тело</t>
        </is>
      </c>
      <c r="D328">
        <f>B328-B327</f>
        <v/>
      </c>
      <c r="E328" s="11">
        <f>IF(YEAR(B327)=YEAR(B328),(B328-B327)/(DATE(YEAR(B327)+1,1,1)-DATE(YEAR(B327),1,1)),(DATE(YEAR(B327)+1,1,1)-B327)/(DATE(YEAR(B327)+1,1,1)-DATE(YEAR(B327),1,1))+(B328-DATE(YEAR(B328),1,1))/(DATE(YEAR(B328)+1,1,1)-DATE(YEAR(B328),1,1))+YEAR(B328)-YEAR(B327)-1)</f>
        <v/>
      </c>
      <c r="F328" s="8">
        <f>K327</f>
        <v/>
      </c>
      <c r="G328" s="7">
        <f>$B$10</f>
        <v/>
      </c>
      <c r="H328" s="8">
        <f>F328*G328*E328</f>
        <v/>
      </c>
      <c r="I328" s="8">
        <f>SUM(H328:H328)</f>
        <v/>
      </c>
      <c r="J328" s="8">
        <f>$B$14-I328</f>
        <v/>
      </c>
      <c r="K328" s="8">
        <f>F328-J328</f>
        <v/>
      </c>
    </row>
    <row r="329">
      <c r="A329" t="n">
        <v>333</v>
      </c>
      <c r="B329" s="10">
        <f>MIN(DATE(YEAR($E$3),MONTH($E$3)+A329*$E$4,MIN($E$5,DAY(EOMONTH(DATE(YEAR($E$3),MONTH($E$3)+A329*$E$4,1),0)))),$B$6)</f>
        <v/>
      </c>
      <c r="C329" t="inlineStr">
        <is>
          <t>проценты, тело</t>
        </is>
      </c>
      <c r="D329">
        <f>B329-B328</f>
        <v/>
      </c>
      <c r="E329" s="11">
        <f>IF(YEAR(B328)=YEAR(B329),(B329-B328)/(DATE(YEAR(B328)+1,1,1)-DATE(YEAR(B328),1,1)),(DATE(YEAR(B328)+1,1,1)-B328)/(DATE(YEAR(B328)+1,1,1)-DATE(YEAR(B328),1,1))+(B329-DATE(YEAR(B329),1,1))/(DATE(YEAR(B329)+1,1,1)-DATE(YEAR(B329),1,1))+YEAR(B329)-YEAR(B328)-1)</f>
        <v/>
      </c>
      <c r="F329" s="8">
        <f>K328</f>
        <v/>
      </c>
      <c r="G329" s="7">
        <f>$B$10</f>
        <v/>
      </c>
      <c r="H329" s="8">
        <f>F329*G329*E329</f>
        <v/>
      </c>
      <c r="I329" s="8">
        <f>SUM(H329:H329)</f>
        <v/>
      </c>
      <c r="J329" s="8">
        <f>$B$14-I329</f>
        <v/>
      </c>
      <c r="K329" s="8">
        <f>F329-J329</f>
        <v/>
      </c>
    </row>
    <row r="330">
      <c r="A330" t="n">
        <v>334</v>
      </c>
      <c r="B330" s="10">
        <f>MIN(DATE(YEAR($E$3),MONTH($E$3)+A330*$E$4,MIN($E$5,DAY(EOMONTH(DATE(YEAR($E$3),MONTH($E$3)+A330*$E$4,1),0)))),$B$6)</f>
        <v/>
      </c>
      <c r="C330" t="inlineStr">
        <is>
          <t>проценты, тело</t>
        </is>
      </c>
      <c r="D330">
        <f>B330-B329</f>
        <v/>
      </c>
      <c r="E330" s="11">
        <f>IF(YEAR(B329)=YEAR(B330),(B330-B329)/(DATE(YEAR(B329)+1,1,1)-DATE(YEAR(B329),1,1)),(DATE(YEAR(B329)+1,1,1)-B329)/(DATE(YEAR(B329)+1,1,1)-DATE(YEAR(B329),1,1))+(B330-DATE(YEAR(B330),1,1))/(DATE(YEAR(B330)+1,1,1)-DATE(YEAR(B330),1,1))+YEAR(B330)-YEAR(B329)-1)</f>
        <v/>
      </c>
      <c r="F330" s="8">
        <f>K329</f>
        <v/>
      </c>
      <c r="G330" s="7">
        <f>$B$10</f>
        <v/>
      </c>
      <c r="H330" s="8">
        <f>F330*G330*E330</f>
        <v/>
      </c>
      <c r="I330" s="8">
        <f>SUM(H330:H330)</f>
        <v/>
      </c>
      <c r="J330" s="8">
        <f>$B$14-I330</f>
        <v/>
      </c>
      <c r="K330" s="8">
        <f>F330-J330</f>
        <v/>
      </c>
    </row>
    <row r="331">
      <c r="A331" t="n">
        <v>335</v>
      </c>
      <c r="B331" s="10">
        <f>MIN(DATE(YEAR($E$3),MONTH($E$3)+A331*$E$4,MIN($E$5,DAY(EOMONTH(DATE(YEAR($E$3),MONTH($E$3)+A331*$E$4,1),0)))),$B$6)</f>
        <v/>
      </c>
      <c r="C331" t="inlineStr">
        <is>
          <t>проценты, тело</t>
        </is>
      </c>
      <c r="D331">
        <f>B331-B330</f>
        <v/>
      </c>
      <c r="E331" s="11">
        <f>IF(YEAR(B330)=YEAR(B331),(B331-B330)/(DATE(YEAR(B330)+1,1,1)-DATE(YEAR(B330),1,1)),(DATE(YEAR(B330)+1,1,1)-B330)/(DATE(YEAR(B330)+1,1,1)-DATE(YEAR(B330),1,1))+(B331-DATE(YEAR(B331),1,1))/(DATE(YEAR(B331)+1,1,1)-DATE(YEAR(B331),1,1))+YEAR(B331)-YEAR(B330)-1)</f>
        <v/>
      </c>
      <c r="F331" s="8">
        <f>K330</f>
        <v/>
      </c>
      <c r="G331" s="7">
        <f>$B$10</f>
        <v/>
      </c>
      <c r="H331" s="8">
        <f>F331*G331*E331</f>
        <v/>
      </c>
      <c r="I331" s="8">
        <f>SUM(H331:H331)</f>
        <v/>
      </c>
      <c r="J331" s="8">
        <f>$B$14-I331</f>
        <v/>
      </c>
      <c r="K331" s="8">
        <f>F331-J331</f>
        <v/>
      </c>
    </row>
    <row r="332">
      <c r="A332" t="n">
        <v>336</v>
      </c>
      <c r="B332" s="10">
        <f>MIN(DATE(YEAR($E$3),MONTH($E$3)+A332*$E$4,MIN($E$5,DAY(EOMONTH(DATE(YEAR($E$3),MONTH($E$3)+A332*$E$4,1),0)))),$B$6)</f>
        <v/>
      </c>
      <c r="C332" t="inlineStr">
        <is>
          <t>проценты, тело</t>
        </is>
      </c>
      <c r="D332">
        <f>B332-B331</f>
        <v/>
      </c>
      <c r="E332" s="11">
        <f>IF(YEAR(B331)=YEAR(B332),(B332-B331)/(DATE(YEAR(B331)+1,1,1)-DATE(YEAR(B331),1,1)),(DATE(YEAR(B331)+1,1,1)-B331)/(DATE(YEAR(B331)+1,1,1)-DATE(YEAR(B331),1,1))+(B332-DATE(YEAR(B332),1,1))/(DATE(YEAR(B332)+1,1,1)-DATE(YEAR(B332),1,1))+YEAR(B332)-YEAR(B331)-1)</f>
        <v/>
      </c>
      <c r="F332" s="8">
        <f>K331</f>
        <v/>
      </c>
      <c r="G332" s="7">
        <f>$B$10</f>
        <v/>
      </c>
      <c r="H332" s="8">
        <f>F332*G332*E332</f>
        <v/>
      </c>
      <c r="I332" s="8">
        <f>SUM(H332:H332)</f>
        <v/>
      </c>
      <c r="J332" s="8">
        <f>$B$14-I332</f>
        <v/>
      </c>
      <c r="K332" s="8">
        <f>F332-J332</f>
        <v/>
      </c>
    </row>
    <row r="333">
      <c r="A333" t="n">
        <v>337</v>
      </c>
      <c r="B333" s="10">
        <f>MIN(DATE(YEAR($E$3),MONTH($E$3)+A333*$E$4,MIN($E$5,DAY(EOMONTH(DATE(YEAR($E$3),MONTH($E$3)+A333*$E$4,1),0)))),$B$6)</f>
        <v/>
      </c>
      <c r="C333" t="inlineStr">
        <is>
          <t>проценты, тело</t>
        </is>
      </c>
      <c r="D333">
        <f>B333-B332</f>
        <v/>
      </c>
      <c r="E333" s="11">
        <f>IF(YEAR(B332)=YEAR(B333),(B333-B332)/(DATE(YEAR(B332)+1,1,1)-DATE(YEAR(B332),1,1)),(DATE(YEAR(B332)+1,1,1)-B332)/(DATE(YEAR(B332)+1,1,1)-DATE(YEAR(B332),1,1))+(B333-DATE(YEAR(B333),1,1))/(DATE(YEAR(B333)+1,1,1)-DATE(YEAR(B333),1,1))+YEAR(B333)-YEAR(B332)-1)</f>
        <v/>
      </c>
      <c r="F333" s="8">
        <f>K332</f>
        <v/>
      </c>
      <c r="G333" s="7">
        <f>$B$10</f>
        <v/>
      </c>
      <c r="H333" s="8">
        <f>F333*G333*E333</f>
        <v/>
      </c>
      <c r="I333" s="8">
        <f>SUM(H333:H333)</f>
        <v/>
      </c>
      <c r="J333" s="8">
        <f>$B$14-I333</f>
        <v/>
      </c>
      <c r="K333" s="8">
        <f>F333-J333</f>
        <v/>
      </c>
    </row>
    <row r="334">
      <c r="A334" t="n">
        <v>338</v>
      </c>
      <c r="B334" s="10">
        <f>MIN(DATE(YEAR($E$3),MONTH($E$3)+A334*$E$4,MIN($E$5,DAY(EOMONTH(DATE(YEAR($E$3),MONTH($E$3)+A334*$E$4,1),0)))),$B$6)</f>
        <v/>
      </c>
      <c r="C334" t="inlineStr">
        <is>
          <t>проценты, тело</t>
        </is>
      </c>
      <c r="D334">
        <f>B334-B333</f>
        <v/>
      </c>
      <c r="E334" s="11">
        <f>IF(YEAR(B333)=YEAR(B334),(B334-B333)/(DATE(YEAR(B333)+1,1,1)-DATE(YEAR(B333),1,1)),(DATE(YEAR(B333)+1,1,1)-B333)/(DATE(YEAR(B333)+1,1,1)-DATE(YEAR(B333),1,1))+(B334-DATE(YEAR(B334),1,1))/(DATE(YEAR(B334)+1,1,1)-DATE(YEAR(B334),1,1))+YEAR(B334)-YEAR(B333)-1)</f>
        <v/>
      </c>
      <c r="F334" s="8">
        <f>K333</f>
        <v/>
      </c>
      <c r="G334" s="7">
        <f>$B$10</f>
        <v/>
      </c>
      <c r="H334" s="8">
        <f>F334*G334*E334</f>
        <v/>
      </c>
      <c r="I334" s="8">
        <f>SUM(H334:H334)</f>
        <v/>
      </c>
      <c r="J334" s="8">
        <f>$B$14-I334</f>
        <v/>
      </c>
      <c r="K334" s="8">
        <f>F334-J334</f>
        <v/>
      </c>
    </row>
    <row r="335">
      <c r="A335" t="n">
        <v>339</v>
      </c>
      <c r="B335" s="10">
        <f>MIN(DATE(YEAR($E$3),MONTH($E$3)+A335*$E$4,MIN($E$5,DAY(EOMONTH(DATE(YEAR($E$3),MONTH($E$3)+A335*$E$4,1),0)))),$B$6)</f>
        <v/>
      </c>
      <c r="C335" t="inlineStr">
        <is>
          <t>проценты, тело</t>
        </is>
      </c>
      <c r="D335">
        <f>B335-B334</f>
        <v/>
      </c>
      <c r="E335" s="11">
        <f>IF(YEAR(B334)=YEAR(B335),(B335-B334)/(DATE(YEAR(B334)+1,1,1)-DATE(YEAR(B334),1,1)),(DATE(YEAR(B334)+1,1,1)-B334)/(DATE(YEAR(B334)+1,1,1)-DATE(YEAR(B334),1,1))+(B335-DATE(YEAR(B335),1,1))/(DATE(YEAR(B335)+1,1,1)-DATE(YEAR(B335),1,1))+YEAR(B335)-YEAR(B334)-1)</f>
        <v/>
      </c>
      <c r="F335" s="8">
        <f>K334</f>
        <v/>
      </c>
      <c r="G335" s="7">
        <f>$B$10</f>
        <v/>
      </c>
      <c r="H335" s="8">
        <f>F335*G335*E335</f>
        <v/>
      </c>
      <c r="I335" s="8">
        <f>SUM(H335:H335)</f>
        <v/>
      </c>
      <c r="J335" s="8">
        <f>$B$14-I335</f>
        <v/>
      </c>
      <c r="K335" s="8">
        <f>F335-J335</f>
        <v/>
      </c>
    </row>
    <row r="336">
      <c r="A336" t="n">
        <v>340</v>
      </c>
      <c r="B336" s="10">
        <f>MIN(DATE(YEAR($E$3),MONTH($E$3)+A336*$E$4,MIN($E$5,DAY(EOMONTH(DATE(YEAR($E$3),MONTH($E$3)+A336*$E$4,1),0)))),$B$6)</f>
        <v/>
      </c>
      <c r="C336" t="inlineStr">
        <is>
          <t>проценты, тело</t>
        </is>
      </c>
      <c r="D336">
        <f>B336-B335</f>
        <v/>
      </c>
      <c r="E336" s="11">
        <f>IF(YEAR(B335)=YEAR(B336),(B336-B335)/(DATE(YEAR(B335)+1,1,1)-DATE(YEAR(B335),1,1)),(DATE(YEAR(B335)+1,1,1)-B335)/(DATE(YEAR(B335)+1,1,1)-DATE(YEAR(B335),1,1))+(B336-DATE(YEAR(B336),1,1))/(DATE(YEAR(B336)+1,1,1)-DATE(YEAR(B336),1,1))+YEAR(B336)-YEAR(B335)-1)</f>
        <v/>
      </c>
      <c r="F336" s="8">
        <f>K335</f>
        <v/>
      </c>
      <c r="G336" s="7">
        <f>$B$10</f>
        <v/>
      </c>
      <c r="H336" s="8">
        <f>F336*G336*E336</f>
        <v/>
      </c>
      <c r="I336" s="8">
        <f>SUM(H336:H336)</f>
        <v/>
      </c>
      <c r="J336" s="8">
        <f>$B$14-I336</f>
        <v/>
      </c>
      <c r="K336" s="8">
        <f>F336-J336</f>
        <v/>
      </c>
    </row>
    <row r="337">
      <c r="A337" t="n">
        <v>341</v>
      </c>
      <c r="B337" s="10">
        <f>MIN(DATE(YEAR($E$3),MONTH($E$3)+A337*$E$4,MIN($E$5,DAY(EOMONTH(DATE(YEAR($E$3),MONTH($E$3)+A337*$E$4,1),0)))),$B$6)</f>
        <v/>
      </c>
      <c r="C337" t="inlineStr">
        <is>
          <t>проценты, тело</t>
        </is>
      </c>
      <c r="D337">
        <f>B337-B336</f>
        <v/>
      </c>
      <c r="E337" s="11">
        <f>IF(YEAR(B336)=YEAR(B337),(B337-B336)/(DATE(YEAR(B336)+1,1,1)-DATE(YEAR(B336),1,1)),(DATE(YEAR(B336)+1,1,1)-B336)/(DATE(YEAR(B336)+1,1,1)-DATE(YEAR(B336),1,1))+(B337-DATE(YEAR(B337),1,1))/(DATE(YEAR(B337)+1,1,1)-DATE(YEAR(B337),1,1))+YEAR(B337)-YEAR(B336)-1)</f>
        <v/>
      </c>
      <c r="F337" s="8">
        <f>K336</f>
        <v/>
      </c>
      <c r="G337" s="7">
        <f>$B$10</f>
        <v/>
      </c>
      <c r="H337" s="8">
        <f>F337*G337*E337</f>
        <v/>
      </c>
      <c r="I337" s="8">
        <f>SUM(H337:H337)</f>
        <v/>
      </c>
      <c r="J337" s="8">
        <f>$B$14-I337</f>
        <v/>
      </c>
      <c r="K337" s="8">
        <f>F337-J337</f>
        <v/>
      </c>
    </row>
    <row r="338">
      <c r="A338" t="n">
        <v>342</v>
      </c>
      <c r="B338" s="10">
        <f>MIN(DATE(YEAR($E$3),MONTH($E$3)+A338*$E$4,MIN($E$5,DAY(EOMONTH(DATE(YEAR($E$3),MONTH($E$3)+A338*$E$4,1),0)))),$B$6)</f>
        <v/>
      </c>
      <c r="C338" t="inlineStr">
        <is>
          <t>проценты, тело</t>
        </is>
      </c>
      <c r="D338">
        <f>B338-B337</f>
        <v/>
      </c>
      <c r="E338" s="11">
        <f>IF(YEAR(B337)=YEAR(B338),(B338-B337)/(DATE(YEAR(B337)+1,1,1)-DATE(YEAR(B337),1,1)),(DATE(YEAR(B337)+1,1,1)-B337)/(DATE(YEAR(B337)+1,1,1)-DATE(YEAR(B337),1,1))+(B338-DATE(YEAR(B338),1,1))/(DATE(YEAR(B338)+1,1,1)-DATE(YEAR(B338),1,1))+YEAR(B338)-YEAR(B337)-1)</f>
        <v/>
      </c>
      <c r="F338" s="8">
        <f>K337</f>
        <v/>
      </c>
      <c r="G338" s="7">
        <f>$B$10</f>
        <v/>
      </c>
      <c r="H338" s="8">
        <f>F338*G338*E338</f>
        <v/>
      </c>
      <c r="I338" s="8">
        <f>SUM(H338:H338)</f>
        <v/>
      </c>
      <c r="J338" s="8">
        <f>$B$14-I338</f>
        <v/>
      </c>
      <c r="K338" s="8">
        <f>F338-J338</f>
        <v/>
      </c>
    </row>
    <row r="339">
      <c r="A339" t="n">
        <v>343</v>
      </c>
      <c r="B339" s="10">
        <f>MIN(DATE(YEAR($E$3),MONTH($E$3)+A339*$E$4,MIN($E$5,DAY(EOMONTH(DATE(YEAR($E$3),MONTH($E$3)+A339*$E$4,1),0)))),$B$6)</f>
        <v/>
      </c>
      <c r="C339" t="inlineStr">
        <is>
          <t>проценты, тело</t>
        </is>
      </c>
      <c r="D339">
        <f>B339-B338</f>
        <v/>
      </c>
      <c r="E339" s="11">
        <f>IF(YEAR(B338)=YEAR(B339),(B339-B338)/(DATE(YEAR(B338)+1,1,1)-DATE(YEAR(B338),1,1)),(DATE(YEAR(B338)+1,1,1)-B338)/(DATE(YEAR(B338)+1,1,1)-DATE(YEAR(B338),1,1))+(B339-DATE(YEAR(B339),1,1))/(DATE(YEAR(B339)+1,1,1)-DATE(YEAR(B339),1,1))+YEAR(B339)-YEAR(B338)-1)</f>
        <v/>
      </c>
      <c r="F339" s="8">
        <f>K338</f>
        <v/>
      </c>
      <c r="G339" s="7">
        <f>$B$10</f>
        <v/>
      </c>
      <c r="H339" s="8">
        <f>F339*G339*E339</f>
        <v/>
      </c>
      <c r="I339" s="8">
        <f>SUM(H339:H339)</f>
        <v/>
      </c>
      <c r="J339" s="8">
        <f>$B$14-I339</f>
        <v/>
      </c>
      <c r="K339" s="8">
        <f>F339-J339</f>
        <v/>
      </c>
    </row>
    <row r="340">
      <c r="A340" t="n">
        <v>344</v>
      </c>
      <c r="B340" s="10">
        <f>MIN(DATE(YEAR($E$3),MONTH($E$3)+A340*$E$4,MIN($E$5,DAY(EOMONTH(DATE(YEAR($E$3),MONTH($E$3)+A340*$E$4,1),0)))),$B$6)</f>
        <v/>
      </c>
      <c r="C340" t="inlineStr">
        <is>
          <t>проценты, тело</t>
        </is>
      </c>
      <c r="D340">
        <f>B340-B339</f>
        <v/>
      </c>
      <c r="E340" s="11">
        <f>IF(YEAR(B339)=YEAR(B340),(B340-B339)/(DATE(YEAR(B339)+1,1,1)-DATE(YEAR(B339),1,1)),(DATE(YEAR(B339)+1,1,1)-B339)/(DATE(YEAR(B339)+1,1,1)-DATE(YEAR(B339),1,1))+(B340-DATE(YEAR(B340),1,1))/(DATE(YEAR(B340)+1,1,1)-DATE(YEAR(B340),1,1))+YEAR(B340)-YEAR(B339)-1)</f>
        <v/>
      </c>
      <c r="F340" s="8">
        <f>K339</f>
        <v/>
      </c>
      <c r="G340" s="7">
        <f>$B$10</f>
        <v/>
      </c>
      <c r="H340" s="8">
        <f>F340*G340*E340</f>
        <v/>
      </c>
      <c r="I340" s="8">
        <f>SUM(H340:H340)</f>
        <v/>
      </c>
      <c r="J340" s="8">
        <f>$B$14-I340</f>
        <v/>
      </c>
      <c r="K340" s="8">
        <f>F340-J340</f>
        <v/>
      </c>
    </row>
    <row r="341">
      <c r="A341" t="n">
        <v>345</v>
      </c>
      <c r="B341" s="10">
        <f>MIN(DATE(YEAR($E$3),MONTH($E$3)+A341*$E$4,MIN($E$5,DAY(EOMONTH(DATE(YEAR($E$3),MONTH($E$3)+A341*$E$4,1),0)))),$B$6)</f>
        <v/>
      </c>
      <c r="C341" t="inlineStr">
        <is>
          <t>проценты, тело</t>
        </is>
      </c>
      <c r="D341">
        <f>B341-B340</f>
        <v/>
      </c>
      <c r="E341" s="11">
        <f>IF(YEAR(B340)=YEAR(B341),(B341-B340)/(DATE(YEAR(B340)+1,1,1)-DATE(YEAR(B340),1,1)),(DATE(YEAR(B340)+1,1,1)-B340)/(DATE(YEAR(B340)+1,1,1)-DATE(YEAR(B340),1,1))+(B341-DATE(YEAR(B341),1,1))/(DATE(YEAR(B341)+1,1,1)-DATE(YEAR(B341),1,1))+YEAR(B341)-YEAR(B340)-1)</f>
        <v/>
      </c>
      <c r="F341" s="8">
        <f>K340</f>
        <v/>
      </c>
      <c r="G341" s="7">
        <f>$B$10</f>
        <v/>
      </c>
      <c r="H341" s="8">
        <f>F341*G341*E341</f>
        <v/>
      </c>
      <c r="I341" s="8">
        <f>SUM(H341:H341)</f>
        <v/>
      </c>
      <c r="J341" s="8">
        <f>$B$14-I341</f>
        <v/>
      </c>
      <c r="K341" s="8">
        <f>F341-J341</f>
        <v/>
      </c>
    </row>
    <row r="342">
      <c r="A342" t="n">
        <v>346</v>
      </c>
      <c r="B342" s="10">
        <f>MIN(DATE(YEAR($E$3),MONTH($E$3)+A342*$E$4,MIN($E$5,DAY(EOMONTH(DATE(YEAR($E$3),MONTH($E$3)+A342*$E$4,1),0)))),$B$6)</f>
        <v/>
      </c>
      <c r="C342" t="inlineStr">
        <is>
          <t>проценты, тело</t>
        </is>
      </c>
      <c r="D342">
        <f>B342-B341</f>
        <v/>
      </c>
      <c r="E342" s="11">
        <f>IF(YEAR(B341)=YEAR(B342),(B342-B341)/(DATE(YEAR(B341)+1,1,1)-DATE(YEAR(B341),1,1)),(DATE(YEAR(B341)+1,1,1)-B341)/(DATE(YEAR(B341)+1,1,1)-DATE(YEAR(B341),1,1))+(B342-DATE(YEAR(B342),1,1))/(DATE(YEAR(B342)+1,1,1)-DATE(YEAR(B342),1,1))+YEAR(B342)-YEAR(B341)-1)</f>
        <v/>
      </c>
      <c r="F342" s="8">
        <f>K341</f>
        <v/>
      </c>
      <c r="G342" s="7">
        <f>$B$10</f>
        <v/>
      </c>
      <c r="H342" s="8">
        <f>F342*G342*E342</f>
        <v/>
      </c>
      <c r="I342" s="8">
        <f>SUM(H342:H342)</f>
        <v/>
      </c>
      <c r="J342" s="8">
        <f>$B$14-I342</f>
        <v/>
      </c>
      <c r="K342" s="8">
        <f>F342-J342</f>
        <v/>
      </c>
    </row>
    <row r="343">
      <c r="A343" t="n">
        <v>347</v>
      </c>
      <c r="B343" s="10">
        <f>MIN(DATE(YEAR($E$3),MONTH($E$3)+A343*$E$4,MIN($E$5,DAY(EOMONTH(DATE(YEAR($E$3),MONTH($E$3)+A343*$E$4,1),0)))),$B$6)</f>
        <v/>
      </c>
      <c r="C343" t="inlineStr">
        <is>
          <t>проценты, тело</t>
        </is>
      </c>
      <c r="D343">
        <f>B343-B342</f>
        <v/>
      </c>
      <c r="E343" s="11">
        <f>IF(YEAR(B342)=YEAR(B343),(B343-B342)/(DATE(YEAR(B342)+1,1,1)-DATE(YEAR(B342),1,1)),(DATE(YEAR(B342)+1,1,1)-B342)/(DATE(YEAR(B342)+1,1,1)-DATE(YEAR(B342),1,1))+(B343-DATE(YEAR(B343),1,1))/(DATE(YEAR(B343)+1,1,1)-DATE(YEAR(B343),1,1))+YEAR(B343)-YEAR(B342)-1)</f>
        <v/>
      </c>
      <c r="F343" s="8">
        <f>K342</f>
        <v/>
      </c>
      <c r="G343" s="7">
        <f>$B$10</f>
        <v/>
      </c>
      <c r="H343" s="8">
        <f>F343*G343*E343</f>
        <v/>
      </c>
      <c r="I343" s="8">
        <f>SUM(H343:H343)</f>
        <v/>
      </c>
      <c r="J343" s="8">
        <f>$B$14-I343</f>
        <v/>
      </c>
      <c r="K343" s="8">
        <f>F343-J343</f>
        <v/>
      </c>
    </row>
    <row r="344">
      <c r="A344" t="n">
        <v>348</v>
      </c>
      <c r="B344" s="10">
        <f>MIN(DATE(YEAR($E$3),MONTH($E$3)+A344*$E$4,MIN($E$5,DAY(EOMONTH(DATE(YEAR($E$3),MONTH($E$3)+A344*$E$4,1),0)))),$B$6)</f>
        <v/>
      </c>
      <c r="C344" t="inlineStr">
        <is>
          <t>проценты, тело</t>
        </is>
      </c>
      <c r="D344">
        <f>B344-B343</f>
        <v/>
      </c>
      <c r="E344" s="11">
        <f>IF(YEAR(B343)=YEAR(B344),(B344-B343)/(DATE(YEAR(B343)+1,1,1)-DATE(YEAR(B343),1,1)),(DATE(YEAR(B343)+1,1,1)-B343)/(DATE(YEAR(B343)+1,1,1)-DATE(YEAR(B343),1,1))+(B344-DATE(YEAR(B344),1,1))/(DATE(YEAR(B344)+1,1,1)-DATE(YEAR(B344),1,1))+YEAR(B344)-YEAR(B343)-1)</f>
        <v/>
      </c>
      <c r="F344" s="8">
        <f>K343</f>
        <v/>
      </c>
      <c r="G344" s="7">
        <f>$B$10</f>
        <v/>
      </c>
      <c r="H344" s="8">
        <f>F344*G344*E344</f>
        <v/>
      </c>
      <c r="I344" s="8">
        <f>SUM(H344:H344)</f>
        <v/>
      </c>
      <c r="J344" s="8">
        <f>$B$14-I344</f>
        <v/>
      </c>
      <c r="K344" s="8">
        <f>F344-J344</f>
        <v/>
      </c>
    </row>
    <row r="345">
      <c r="A345" t="n">
        <v>349</v>
      </c>
      <c r="B345" s="10">
        <f>MIN(DATE(YEAR($E$3),MONTH($E$3)+A345*$E$4,MIN($E$5,DAY(EOMONTH(DATE(YEAR($E$3),MONTH($E$3)+A345*$E$4,1),0)))),$B$6)</f>
        <v/>
      </c>
      <c r="C345" t="inlineStr">
        <is>
          <t>проценты, тело</t>
        </is>
      </c>
      <c r="D345">
        <f>B345-B344</f>
        <v/>
      </c>
      <c r="E345" s="11">
        <f>IF(YEAR(B344)=YEAR(B345),(B345-B344)/(DATE(YEAR(B344)+1,1,1)-DATE(YEAR(B344),1,1)),(DATE(YEAR(B344)+1,1,1)-B344)/(DATE(YEAR(B344)+1,1,1)-DATE(YEAR(B344),1,1))+(B345-DATE(YEAR(B345),1,1))/(DATE(YEAR(B345)+1,1,1)-DATE(YEAR(B345),1,1))+YEAR(B345)-YEAR(B344)-1)</f>
        <v/>
      </c>
      <c r="F345" s="8">
        <f>K344</f>
        <v/>
      </c>
      <c r="G345" s="7">
        <f>$B$10</f>
        <v/>
      </c>
      <c r="H345" s="8">
        <f>F345*G345*E345</f>
        <v/>
      </c>
      <c r="I345" s="8">
        <f>SUM(H345:H345)</f>
        <v/>
      </c>
      <c r="J345" s="8">
        <f>$B$14-I345</f>
        <v/>
      </c>
      <c r="K345" s="8">
        <f>F345-J345</f>
        <v/>
      </c>
    </row>
    <row r="346">
      <c r="A346" t="n">
        <v>350</v>
      </c>
      <c r="B346" s="10">
        <f>MIN(DATE(YEAR($E$3),MONTH($E$3)+A346*$E$4,MIN($E$5,DAY(EOMONTH(DATE(YEAR($E$3),MONTH($E$3)+A346*$E$4,1),0)))),$B$6)</f>
        <v/>
      </c>
      <c r="C346" t="inlineStr">
        <is>
          <t>проценты, тело</t>
        </is>
      </c>
      <c r="D346">
        <f>B346-B345</f>
        <v/>
      </c>
      <c r="E346" s="11">
        <f>IF(YEAR(B345)=YEAR(B346),(B346-B345)/(DATE(YEAR(B345)+1,1,1)-DATE(YEAR(B345),1,1)),(DATE(YEAR(B345)+1,1,1)-B345)/(DATE(YEAR(B345)+1,1,1)-DATE(YEAR(B345),1,1))+(B346-DATE(YEAR(B346),1,1))/(DATE(YEAR(B346)+1,1,1)-DATE(YEAR(B346),1,1))+YEAR(B346)-YEAR(B345)-1)</f>
        <v/>
      </c>
      <c r="F346" s="8">
        <f>K345</f>
        <v/>
      </c>
      <c r="G346" s="7">
        <f>$B$10</f>
        <v/>
      </c>
      <c r="H346" s="8">
        <f>F346*G346*E346</f>
        <v/>
      </c>
      <c r="I346" s="8">
        <f>SUM(H346:H346)</f>
        <v/>
      </c>
      <c r="J346" s="8">
        <f>$B$14-I346</f>
        <v/>
      </c>
      <c r="K346" s="8">
        <f>F346-J346</f>
        <v/>
      </c>
    </row>
    <row r="347">
      <c r="A347" t="n">
        <v>351</v>
      </c>
      <c r="B347" s="10">
        <f>MIN(DATE(YEAR($E$3),MONTH($E$3)+A347*$E$4,MIN($E$5,DAY(EOMONTH(DATE(YEAR($E$3),MONTH($E$3)+A347*$E$4,1),0)))),$B$6)</f>
        <v/>
      </c>
      <c r="C347" t="inlineStr">
        <is>
          <t>проценты, тело</t>
        </is>
      </c>
      <c r="D347">
        <f>B347-B346</f>
        <v/>
      </c>
      <c r="E347" s="11">
        <f>IF(YEAR(B346)=YEAR(B347),(B347-B346)/(DATE(YEAR(B346)+1,1,1)-DATE(YEAR(B346),1,1)),(DATE(YEAR(B346)+1,1,1)-B346)/(DATE(YEAR(B346)+1,1,1)-DATE(YEAR(B346),1,1))+(B347-DATE(YEAR(B347),1,1))/(DATE(YEAR(B347)+1,1,1)-DATE(YEAR(B347),1,1))+YEAR(B347)-YEAR(B346)-1)</f>
        <v/>
      </c>
      <c r="F347" s="8">
        <f>K346</f>
        <v/>
      </c>
      <c r="G347" s="7">
        <f>$B$10</f>
        <v/>
      </c>
      <c r="H347" s="8">
        <f>F347*G347*E347</f>
        <v/>
      </c>
      <c r="I347" s="8">
        <f>SUM(H347:H347)</f>
        <v/>
      </c>
      <c r="J347" s="8">
        <f>$B$14-I347</f>
        <v/>
      </c>
      <c r="K347" s="8">
        <f>F347-J347</f>
        <v/>
      </c>
    </row>
    <row r="348">
      <c r="A348" t="n">
        <v>352</v>
      </c>
      <c r="B348" s="10">
        <f>MIN(DATE(YEAR($E$3),MONTH($E$3)+A348*$E$4,MIN($E$5,DAY(EOMONTH(DATE(YEAR($E$3),MONTH($E$3)+A348*$E$4,1),0)))),$B$6)</f>
        <v/>
      </c>
      <c r="C348" t="inlineStr">
        <is>
          <t>проценты, тело</t>
        </is>
      </c>
      <c r="D348">
        <f>B348-B347</f>
        <v/>
      </c>
      <c r="E348" s="11">
        <f>IF(YEAR(B347)=YEAR(B348),(B348-B347)/(DATE(YEAR(B347)+1,1,1)-DATE(YEAR(B347),1,1)),(DATE(YEAR(B347)+1,1,1)-B347)/(DATE(YEAR(B347)+1,1,1)-DATE(YEAR(B347),1,1))+(B348-DATE(YEAR(B348),1,1))/(DATE(YEAR(B348)+1,1,1)-DATE(YEAR(B348),1,1))+YEAR(B348)-YEAR(B347)-1)</f>
        <v/>
      </c>
      <c r="F348" s="8">
        <f>K347</f>
        <v/>
      </c>
      <c r="G348" s="7">
        <f>$B$10</f>
        <v/>
      </c>
      <c r="H348" s="8">
        <f>F348*G348*E348</f>
        <v/>
      </c>
      <c r="I348" s="8">
        <f>SUM(H348:H348)</f>
        <v/>
      </c>
      <c r="J348" s="8">
        <f>$B$14-I348</f>
        <v/>
      </c>
      <c r="K348" s="8">
        <f>F348-J348</f>
        <v/>
      </c>
    </row>
    <row r="349">
      <c r="A349" t="n">
        <v>353</v>
      </c>
      <c r="B349" s="10">
        <f>MIN(DATE(YEAR($E$3),MONTH($E$3)+A349*$E$4,MIN($E$5,DAY(EOMONTH(DATE(YEAR($E$3),MONTH($E$3)+A349*$E$4,1),0)))),$B$6)</f>
        <v/>
      </c>
      <c r="C349" t="inlineStr">
        <is>
          <t>проценты, тело</t>
        </is>
      </c>
      <c r="D349">
        <f>B349-B348</f>
        <v/>
      </c>
      <c r="E349" s="11">
        <f>IF(YEAR(B348)=YEAR(B349),(B349-B348)/(DATE(YEAR(B348)+1,1,1)-DATE(YEAR(B348),1,1)),(DATE(YEAR(B348)+1,1,1)-B348)/(DATE(YEAR(B348)+1,1,1)-DATE(YEAR(B348),1,1))+(B349-DATE(YEAR(B349),1,1))/(DATE(YEAR(B349)+1,1,1)-DATE(YEAR(B349),1,1))+YEAR(B349)-YEAR(B348)-1)</f>
        <v/>
      </c>
      <c r="F349" s="8">
        <f>K348</f>
        <v/>
      </c>
      <c r="G349" s="7">
        <f>$B$10</f>
        <v/>
      </c>
      <c r="H349" s="8">
        <f>F349*G349*E349</f>
        <v/>
      </c>
      <c r="I349" s="8">
        <f>SUM(H349:H349)</f>
        <v/>
      </c>
      <c r="J349" s="8">
        <f>$B$14-I349</f>
        <v/>
      </c>
      <c r="K349" s="8">
        <f>F349-J349</f>
        <v/>
      </c>
    </row>
    <row r="350">
      <c r="A350" t="n">
        <v>354</v>
      </c>
      <c r="B350" s="10">
        <f>MIN(DATE(YEAR($E$3),MONTH($E$3)+A350*$E$4,MIN($E$5,DAY(EOMONTH(DATE(YEAR($E$3),MONTH($E$3)+A350*$E$4,1),0)))),$B$6)</f>
        <v/>
      </c>
      <c r="C350" t="inlineStr">
        <is>
          <t>проценты, тело</t>
        </is>
      </c>
      <c r="D350">
        <f>B350-B349</f>
        <v/>
      </c>
      <c r="E350" s="11">
        <f>IF(YEAR(B349)=YEAR(B350),(B350-B349)/(DATE(YEAR(B349)+1,1,1)-DATE(YEAR(B349),1,1)),(DATE(YEAR(B349)+1,1,1)-B349)/(DATE(YEAR(B349)+1,1,1)-DATE(YEAR(B349),1,1))+(B350-DATE(YEAR(B350),1,1))/(DATE(YEAR(B350)+1,1,1)-DATE(YEAR(B350),1,1))+YEAR(B350)-YEAR(B349)-1)</f>
        <v/>
      </c>
      <c r="F350" s="8">
        <f>K349</f>
        <v/>
      </c>
      <c r="G350" s="7">
        <f>$B$10</f>
        <v/>
      </c>
      <c r="H350" s="8">
        <f>F350*G350*E350</f>
        <v/>
      </c>
      <c r="I350" s="8">
        <f>SUM(H350:H350)</f>
        <v/>
      </c>
      <c r="J350" s="8">
        <f>$B$14-I350</f>
        <v/>
      </c>
      <c r="K350" s="8">
        <f>F350-J350</f>
        <v/>
      </c>
    </row>
    <row r="351">
      <c r="A351" t="n">
        <v>355</v>
      </c>
      <c r="B351" s="10">
        <f>MIN(DATE(YEAR($E$3),MONTH($E$3)+A351*$E$4,MIN($E$5,DAY(EOMONTH(DATE(YEAR($E$3),MONTH($E$3)+A351*$E$4,1),0)))),$B$6)</f>
        <v/>
      </c>
      <c r="C351" t="inlineStr">
        <is>
          <t>проценты, тело</t>
        </is>
      </c>
      <c r="D351">
        <f>B351-B350</f>
        <v/>
      </c>
      <c r="E351" s="11">
        <f>IF(YEAR(B350)=YEAR(B351),(B351-B350)/(DATE(YEAR(B350)+1,1,1)-DATE(YEAR(B350),1,1)),(DATE(YEAR(B350)+1,1,1)-B350)/(DATE(YEAR(B350)+1,1,1)-DATE(YEAR(B350),1,1))+(B351-DATE(YEAR(B351),1,1))/(DATE(YEAR(B351)+1,1,1)-DATE(YEAR(B351),1,1))+YEAR(B351)-YEAR(B350)-1)</f>
        <v/>
      </c>
      <c r="F351" s="8">
        <f>K350</f>
        <v/>
      </c>
      <c r="G351" s="7">
        <f>$B$10</f>
        <v/>
      </c>
      <c r="H351" s="8">
        <f>F351*G351*E351</f>
        <v/>
      </c>
      <c r="I351" s="8">
        <f>SUM(H351:H351)</f>
        <v/>
      </c>
      <c r="J351" s="8">
        <f>$B$14-I351</f>
        <v/>
      </c>
      <c r="K351" s="8">
        <f>F351-J351</f>
        <v/>
      </c>
    </row>
    <row r="352">
      <c r="A352" t="n">
        <v>356</v>
      </c>
      <c r="B352" s="10">
        <f>MIN(DATE(YEAR($E$3),MONTH($E$3)+A352*$E$4,MIN($E$5,DAY(EOMONTH(DATE(YEAR($E$3),MONTH($E$3)+A352*$E$4,1),0)))),$B$6)</f>
        <v/>
      </c>
      <c r="C352" t="inlineStr">
        <is>
          <t>проценты, тело</t>
        </is>
      </c>
      <c r="D352">
        <f>B352-B351</f>
        <v/>
      </c>
      <c r="E352" s="11">
        <f>IF(YEAR(B351)=YEAR(B352),(B352-B351)/(DATE(YEAR(B351)+1,1,1)-DATE(YEAR(B351),1,1)),(DATE(YEAR(B351)+1,1,1)-B351)/(DATE(YEAR(B351)+1,1,1)-DATE(YEAR(B351),1,1))+(B352-DATE(YEAR(B352),1,1))/(DATE(YEAR(B352)+1,1,1)-DATE(YEAR(B352),1,1))+YEAR(B352)-YEAR(B351)-1)</f>
        <v/>
      </c>
      <c r="F352" s="8">
        <f>K351</f>
        <v/>
      </c>
      <c r="G352" s="7">
        <f>$B$10</f>
        <v/>
      </c>
      <c r="H352" s="8">
        <f>F352*G352*E352</f>
        <v/>
      </c>
      <c r="I352" s="8">
        <f>SUM(H352:H352)</f>
        <v/>
      </c>
      <c r="J352" s="8">
        <f>$B$14-I352</f>
        <v/>
      </c>
      <c r="K352" s="8">
        <f>F352-J352</f>
        <v/>
      </c>
    </row>
    <row r="353">
      <c r="A353" t="n">
        <v>357</v>
      </c>
      <c r="B353" s="10">
        <f>MIN(DATE(YEAR($E$3),MONTH($E$3)+A353*$E$4,MIN($E$5,DAY(EOMONTH(DATE(YEAR($E$3),MONTH($E$3)+A353*$E$4,1),0)))),$B$6)</f>
        <v/>
      </c>
      <c r="C353" t="inlineStr">
        <is>
          <t>проценты, тело</t>
        </is>
      </c>
      <c r="D353">
        <f>B353-B352</f>
        <v/>
      </c>
      <c r="E353" s="11">
        <f>IF(YEAR(B352)=YEAR(B353),(B353-B352)/(DATE(YEAR(B352)+1,1,1)-DATE(YEAR(B352),1,1)),(DATE(YEAR(B352)+1,1,1)-B352)/(DATE(YEAR(B352)+1,1,1)-DATE(YEAR(B352),1,1))+(B353-DATE(YEAR(B353),1,1))/(DATE(YEAR(B353)+1,1,1)-DATE(YEAR(B353),1,1))+YEAR(B353)-YEAR(B352)-1)</f>
        <v/>
      </c>
      <c r="F353" s="8">
        <f>K352</f>
        <v/>
      </c>
      <c r="G353" s="7">
        <f>$B$10</f>
        <v/>
      </c>
      <c r="H353" s="8">
        <f>F353*G353*E353</f>
        <v/>
      </c>
      <c r="I353" s="8">
        <f>SUM(H353:H353)</f>
        <v/>
      </c>
      <c r="J353" s="8">
        <f>$B$14-I353</f>
        <v/>
      </c>
      <c r="K353" s="8">
        <f>F353-J353</f>
        <v/>
      </c>
    </row>
    <row r="354">
      <c r="A354" t="n">
        <v>358</v>
      </c>
      <c r="B354" s="10">
        <f>MIN(DATE(YEAR($E$3),MONTH($E$3)+A354*$E$4,MIN($E$5,DAY(EOMONTH(DATE(YEAR($E$3),MONTH($E$3)+A354*$E$4,1),0)))),$B$6)</f>
        <v/>
      </c>
      <c r="C354" t="inlineStr">
        <is>
          <t>проценты, тело</t>
        </is>
      </c>
      <c r="D354">
        <f>B354-B353</f>
        <v/>
      </c>
      <c r="E354" s="11">
        <f>IF(YEAR(B353)=YEAR(B354),(B354-B353)/(DATE(YEAR(B353)+1,1,1)-DATE(YEAR(B353),1,1)),(DATE(YEAR(B353)+1,1,1)-B353)/(DATE(YEAR(B353)+1,1,1)-DATE(YEAR(B353),1,1))+(B354-DATE(YEAR(B354),1,1))/(DATE(YEAR(B354)+1,1,1)-DATE(YEAR(B354),1,1))+YEAR(B354)-YEAR(B353)-1)</f>
        <v/>
      </c>
      <c r="F354" s="8">
        <f>K353</f>
        <v/>
      </c>
      <c r="G354" s="7">
        <f>$B$10</f>
        <v/>
      </c>
      <c r="H354" s="8">
        <f>F354*G354*E354</f>
        <v/>
      </c>
      <c r="I354" s="8">
        <f>SUM(H354:H354)</f>
        <v/>
      </c>
      <c r="J354" s="8">
        <f>$B$14-I354</f>
        <v/>
      </c>
      <c r="K354" s="8">
        <f>F354-J354</f>
        <v/>
      </c>
    </row>
    <row r="355">
      <c r="A355" t="n">
        <v>359</v>
      </c>
      <c r="B355" s="10">
        <f>MIN(DATE(YEAR($E$3),MONTH($E$3)+A355*$E$4,MIN($E$5,DAY(EOMONTH(DATE(YEAR($E$3),MONTH($E$3)+A355*$E$4,1),0)))),$B$6)</f>
        <v/>
      </c>
      <c r="C355" t="inlineStr">
        <is>
          <t>проценты, тело</t>
        </is>
      </c>
      <c r="D355">
        <f>B355-B354</f>
        <v/>
      </c>
      <c r="E355" s="11">
        <f>IF(YEAR(B354)=YEAR(B355),(B355-B354)/(DATE(YEAR(B354)+1,1,1)-DATE(YEAR(B354),1,1)),(DATE(YEAR(B354)+1,1,1)-B354)/(DATE(YEAR(B354)+1,1,1)-DATE(YEAR(B354),1,1))+(B355-DATE(YEAR(B355),1,1))/(DATE(YEAR(B355)+1,1,1)-DATE(YEAR(B355),1,1))+YEAR(B355)-YEAR(B354)-1)</f>
        <v/>
      </c>
      <c r="F355" s="8">
        <f>K354</f>
        <v/>
      </c>
      <c r="G355" s="7">
        <f>$B$10</f>
        <v/>
      </c>
      <c r="H355" s="8">
        <f>F355*G355*E355</f>
        <v/>
      </c>
      <c r="I355" s="8">
        <f>SUM(H355:H355)</f>
        <v/>
      </c>
      <c r="J355" s="8">
        <f>$B$14-I355</f>
        <v/>
      </c>
      <c r="K355" s="8">
        <f>F355-J355</f>
        <v/>
      </c>
    </row>
    <row r="356">
      <c r="B356" s="10">
        <f>$B$6</f>
        <v/>
      </c>
      <c r="C356" t="inlineStr">
        <is>
          <t>проценты, тело (закрытие)</t>
        </is>
      </c>
      <c r="D356">
        <f>B356-B355</f>
        <v/>
      </c>
      <c r="E356" s="11">
        <f>IF(YEAR(B355)=YEAR(B356),(B356-B355)/(DATE(YEAR(B355)+1,1,1)-DATE(YEAR(B355),1,1)),(DATE(YEAR(B355)+1,1,1)-B355)/(DATE(YEAR(B355)+1,1,1)-DATE(YEAR(B355),1,1))+(B356-DATE(YEAR(B356),1,1))/(DATE(YEAR(B356)+1,1,1)-DATE(YEAR(B356),1,1))+YEAR(B356)-YEAR(B355)-1)</f>
        <v/>
      </c>
      <c r="F356" s="8">
        <f>K355</f>
        <v/>
      </c>
      <c r="G356" s="7">
        <f>$B$10</f>
        <v/>
      </c>
      <c r="H356" s="8">
        <f>F356*G356*E356</f>
        <v/>
      </c>
      <c r="I356" s="8">
        <f>SUM(H356:H356)</f>
        <v/>
      </c>
      <c r="J356" s="8">
        <f>F356</f>
        <v/>
      </c>
      <c r="K356" s="8">
        <f>F356-J356</f>
        <v/>
      </c>
    </row>
    <row r="358">
      <c r="C358" s="2" t="inlineStr">
        <is>
          <t>Итого</t>
        </is>
      </c>
      <c r="I358" s="12">
        <f>SUM(I23:I356)</f>
        <v/>
      </c>
      <c r="J358" s="12">
        <f>SUM(J23:J356)</f>
        <v/>
      </c>
    </row>
    <row r="359">
      <c r="C359" t="inlineStr">
        <is>
          <t>Проверка: тело = B0</t>
        </is>
      </c>
      <c r="J359">
        <f>ROUND(J358-$B$7,2)</f>
        <v/>
      </c>
    </row>
    <row r="360">
      <c r="C360" t="inlineStr">
        <is>
          <t>Проверка: остаток после последнего = 0</t>
        </is>
      </c>
      <c r="K360">
        <f>K356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0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13" customWidth="1" min="5" max="5"/>
    <col width="17" customWidth="1" min="6" max="6"/>
    <col width="11" customWidth="1" min="7" max="7"/>
    <col width="16" customWidth="1" min="8" max="8"/>
    <col width="17" customWidth="1" min="9" max="9"/>
    <col width="16" customWidth="1" min="10" max="10"/>
    <col width="17" customWidth="1" min="11" max="11"/>
    <col width="11" customWidth="1" min="12" max="12"/>
    <col width="16" customWidth="1" min="13" max="13"/>
    <col width="16" customWidth="1" min="14" max="14"/>
  </cols>
  <sheetData>
    <row r="1">
      <c r="A1" s="1" t="inlineStr">
        <is>
          <t>Сделка 2: эталон с формулами (методика docs/METHODOLOGY.md)</t>
        </is>
      </c>
    </row>
    <row r="2">
      <c r="D2" s="2" t="inlineStr">
        <is>
          <t>Правила дат</t>
        </is>
      </c>
    </row>
    <row r="3">
      <c r="A3" t="inlineStr">
        <is>
          <t>Сделка</t>
        </is>
      </c>
      <c r="B3" s="3" t="n">
        <v>2</v>
      </c>
      <c r="D3" t="inlineStr">
        <is>
          <t>Тело: начало</t>
        </is>
      </c>
      <c r="E3" s="4" t="n">
        <v>44004</v>
      </c>
    </row>
    <row r="4">
      <c r="A4" t="inlineStr">
        <is>
          <t>Тип погашения</t>
        </is>
      </c>
      <c r="B4" s="3" t="inlineStr">
        <is>
          <t>RGM</t>
        </is>
      </c>
      <c r="D4" t="inlineStr">
        <is>
          <t>Тело: период, мес.</t>
        </is>
      </c>
      <c r="E4" s="3" t="n">
        <v>1</v>
      </c>
    </row>
    <row r="5">
      <c r="A5" t="inlineStr">
        <is>
          <t>Дата расчёта T0</t>
        </is>
      </c>
      <c r="B5" s="4" t="n">
        <v>44804</v>
      </c>
      <c r="D5" t="inlineStr">
        <is>
          <t>Тело: число месяца</t>
        </is>
      </c>
      <c r="E5" s="3" t="n">
        <v>22</v>
      </c>
    </row>
    <row r="6">
      <c r="A6" t="inlineStr">
        <is>
          <t>Дата погашения Tm</t>
        </is>
      </c>
      <c r="B6" s="4" t="n">
        <v>54954</v>
      </c>
    </row>
    <row r="7">
      <c r="A7" t="inlineStr">
        <is>
          <t>Остаток на T0, B0</t>
        </is>
      </c>
      <c r="B7" s="5" t="n">
        <v>3646037.89</v>
      </c>
    </row>
    <row r="8">
      <c r="A8" t="inlineStr">
        <is>
          <t>Конвенция</t>
        </is>
      </c>
      <c r="B8" s="3" t="inlineStr">
        <is>
          <t>ACT/ACT</t>
        </is>
      </c>
    </row>
    <row r="9">
      <c r="A9" t="inlineStr">
        <is>
          <t>Тип ставки</t>
        </is>
      </c>
      <c r="B9" s="3" t="inlineStr">
        <is>
          <t>FIXED</t>
        </is>
      </c>
    </row>
    <row r="10">
      <c r="A10" t="inlineStr">
        <is>
          <t>interest_rate (ставка / маржа)</t>
        </is>
      </c>
      <c r="B10" s="6" t="n">
        <v>0.075</v>
      </c>
    </row>
    <row r="11">
      <c r="A11" s="2" t="inlineStr">
        <is>
          <t>Ставка клиента на T0 (для аннуитета)</t>
        </is>
      </c>
      <c r="B11" s="7">
        <f>$B$10</f>
        <v/>
      </c>
    </row>
    <row r="13">
      <c r="A13" s="2" t="inlineStr">
        <is>
          <t>Число будущих дат тела n</t>
        </is>
      </c>
      <c r="B13">
        <f>COUNTIF(C23:C357,"*тело*")</f>
        <v/>
      </c>
    </row>
    <row r="21">
      <c r="A21" s="9" t="inlineStr">
        <is>
          <t>k</t>
        </is>
      </c>
      <c r="B21" s="9" t="inlineStr">
        <is>
          <t>Дата</t>
        </is>
      </c>
      <c r="C21" s="9" t="inlineStr">
        <is>
          <t>Что происходит</t>
        </is>
      </c>
      <c r="D21" s="9" t="inlineStr">
        <is>
          <t>Дней</t>
        </is>
      </c>
      <c r="E21" s="9" t="inlineStr">
        <is>
          <t>Доля года τ</t>
        </is>
      </c>
      <c r="F21" s="9" t="inlineStr">
        <is>
          <t>Остаток на отрезке B</t>
        </is>
      </c>
      <c r="G21" s="9" t="inlineStr">
        <is>
          <t>Ставка r на отрезке</t>
        </is>
      </c>
      <c r="H21" s="9" t="inlineStr">
        <is>
          <t>Начислено B·r·τ</t>
        </is>
      </c>
      <c r="I21" s="9" t="inlineStr">
        <is>
          <t>Проценты к выплате</t>
        </is>
      </c>
      <c r="J21" s="9" t="inlineStr">
        <is>
          <t>Тело</t>
        </is>
      </c>
      <c r="K21" s="9" t="inlineStr">
        <is>
          <t>Остаток после</t>
        </is>
      </c>
      <c r="L21" s="9" t="inlineStr">
        <is>
          <t>Ставка субсидии на отрезке</t>
        </is>
      </c>
      <c r="M21" s="9" t="inlineStr">
        <is>
          <t>Субсидия начислено</t>
        </is>
      </c>
      <c r="N21" s="9" t="inlineStr">
        <is>
          <t>Субсидия к выплате</t>
        </is>
      </c>
    </row>
    <row r="22">
      <c r="A22" t="n">
        <v>26</v>
      </c>
      <c r="B22" s="10">
        <f>MIN(DATE(YEAR($E$3),MONTH($E$3)+A22*$E$4,MIN($E$5,DAY(EOMONTH(DATE(YEAR($E$3),MONTH($E$3)+A22*$E$4,1),0)))),$B$6)</f>
        <v/>
      </c>
      <c r="C22" t="inlineStr">
        <is>
          <t>начало периода начисления</t>
        </is>
      </c>
      <c r="K22" s="8">
        <f>$B$7</f>
        <v/>
      </c>
    </row>
    <row r="23">
      <c r="A23" t="n">
        <v>27</v>
      </c>
      <c r="B23" s="10">
        <f>MIN(DATE(YEAR($E$3),MONTH($E$3)+A23*$E$4,MIN($E$5,DAY(EOMONTH(DATE(YEAR($E$3),MONTH($E$3)+A23*$E$4,1),0)))),$B$6)</f>
        <v/>
      </c>
      <c r="C23" t="inlineStr">
        <is>
          <t>проценты, тело</t>
        </is>
      </c>
      <c r="D23">
        <f>B23-B22</f>
        <v/>
      </c>
      <c r="E23" s="11">
        <f>IF(YEAR(B22)=YEAR(B23),(B23-B22)/(DATE(YEAR(B22)+1,1,1)-DATE(YEAR(B22),1,1)),(DATE(YEAR(B22)+1,1,1)-B22)/(DATE(YEAR(B22)+1,1,1)-DATE(YEAR(B22),1,1))+(B23-DATE(YEAR(B23),1,1))/(DATE(YEAR(B23)+1,1,1)-DATE(YEAR(B23),1,1))+YEAR(B23)-YEAR(B22)-1)</f>
        <v/>
      </c>
      <c r="F23" s="8">
        <f>K22</f>
        <v/>
      </c>
      <c r="G23" s="7">
        <f>$B$10</f>
        <v/>
      </c>
      <c r="H23" s="8">
        <f>F23*G23*E23</f>
        <v/>
      </c>
      <c r="I23" s="8">
        <f>SUM(H23:H23)</f>
        <v/>
      </c>
      <c r="J23" s="8">
        <f>$B$7/$B$13</f>
        <v/>
      </c>
      <c r="K23" s="8">
        <f>F23-J23</f>
        <v/>
      </c>
    </row>
    <row r="24">
      <c r="A24" t="n">
        <v>28</v>
      </c>
      <c r="B24" s="10">
        <f>MIN(DATE(YEAR($E$3),MONTH($E$3)+A24*$E$4,MIN($E$5,DAY(EOMONTH(DATE(YEAR($E$3),MONTH($E$3)+A24*$E$4,1),0)))),$B$6)</f>
        <v/>
      </c>
      <c r="C24" t="inlineStr">
        <is>
          <t>проценты, тело</t>
        </is>
      </c>
      <c r="D24">
        <f>B24-B23</f>
        <v/>
      </c>
      <c r="E24" s="11">
        <f>IF(YEAR(B23)=YEAR(B24),(B24-B23)/(DATE(YEAR(B23)+1,1,1)-DATE(YEAR(B23),1,1)),(DATE(YEAR(B23)+1,1,1)-B23)/(DATE(YEAR(B23)+1,1,1)-DATE(YEAR(B23),1,1))+(B24-DATE(YEAR(B24),1,1))/(DATE(YEAR(B24)+1,1,1)-DATE(YEAR(B24),1,1))+YEAR(B24)-YEAR(B23)-1)</f>
        <v/>
      </c>
      <c r="F24" s="8">
        <f>K23</f>
        <v/>
      </c>
      <c r="G24" s="7">
        <f>$B$10</f>
        <v/>
      </c>
      <c r="H24" s="8">
        <f>F24*G24*E24</f>
        <v/>
      </c>
      <c r="I24" s="8">
        <f>SUM(H24:H24)</f>
        <v/>
      </c>
      <c r="J24" s="8">
        <f>$B$7/$B$13</f>
        <v/>
      </c>
      <c r="K24" s="8">
        <f>F24-J24</f>
        <v/>
      </c>
    </row>
    <row r="25">
      <c r="A25" t="n">
        <v>29</v>
      </c>
      <c r="B25" s="10">
        <f>MIN(DATE(YEAR($E$3),MONTH($E$3)+A25*$E$4,MIN($E$5,DAY(EOMONTH(DATE(YEAR($E$3),MONTH($E$3)+A25*$E$4,1),0)))),$B$6)</f>
        <v/>
      </c>
      <c r="C25" t="inlineStr">
        <is>
          <t>проценты, тело</t>
        </is>
      </c>
      <c r="D25">
        <f>B25-B24</f>
        <v/>
      </c>
      <c r="E25" s="11">
        <f>IF(YEAR(B24)=YEAR(B25),(B25-B24)/(DATE(YEAR(B24)+1,1,1)-DATE(YEAR(B24),1,1)),(DATE(YEAR(B24)+1,1,1)-B24)/(DATE(YEAR(B24)+1,1,1)-DATE(YEAR(B24),1,1))+(B25-DATE(YEAR(B25),1,1))/(DATE(YEAR(B25)+1,1,1)-DATE(YEAR(B25),1,1))+YEAR(B25)-YEAR(B24)-1)</f>
        <v/>
      </c>
      <c r="F25" s="8">
        <f>K24</f>
        <v/>
      </c>
      <c r="G25" s="7">
        <f>$B$10</f>
        <v/>
      </c>
      <c r="H25" s="8">
        <f>F25*G25*E25</f>
        <v/>
      </c>
      <c r="I25" s="8">
        <f>SUM(H25:H25)</f>
        <v/>
      </c>
      <c r="J25" s="8">
        <f>$B$7/$B$13</f>
        <v/>
      </c>
      <c r="K25" s="8">
        <f>F25-J25</f>
        <v/>
      </c>
    </row>
    <row r="26">
      <c r="A26" t="n">
        <v>30</v>
      </c>
      <c r="B26" s="10">
        <f>MIN(DATE(YEAR($E$3),MONTH($E$3)+A26*$E$4,MIN($E$5,DAY(EOMONTH(DATE(YEAR($E$3),MONTH($E$3)+A26*$E$4,1),0)))),$B$6)</f>
        <v/>
      </c>
      <c r="C26" t="inlineStr">
        <is>
          <t>проценты, тело</t>
        </is>
      </c>
      <c r="D26">
        <f>B26-B25</f>
        <v/>
      </c>
      <c r="E26" s="11">
        <f>IF(YEAR(B25)=YEAR(B26),(B26-B25)/(DATE(YEAR(B25)+1,1,1)-DATE(YEAR(B25),1,1)),(DATE(YEAR(B25)+1,1,1)-B25)/(DATE(YEAR(B25)+1,1,1)-DATE(YEAR(B25),1,1))+(B26-DATE(YEAR(B26),1,1))/(DATE(YEAR(B26)+1,1,1)-DATE(YEAR(B26),1,1))+YEAR(B26)-YEAR(B25)-1)</f>
        <v/>
      </c>
      <c r="F26" s="8">
        <f>K25</f>
        <v/>
      </c>
      <c r="G26" s="7">
        <f>$B$10</f>
        <v/>
      </c>
      <c r="H26" s="8">
        <f>F26*G26*E26</f>
        <v/>
      </c>
      <c r="I26" s="8">
        <f>SUM(H26:H26)</f>
        <v/>
      </c>
      <c r="J26" s="8">
        <f>$B$7/$B$13</f>
        <v/>
      </c>
      <c r="K26" s="8">
        <f>F26-J26</f>
        <v/>
      </c>
    </row>
    <row r="27">
      <c r="A27" t="n">
        <v>31</v>
      </c>
      <c r="B27" s="10">
        <f>MIN(DATE(YEAR($E$3),MONTH($E$3)+A27*$E$4,MIN($E$5,DAY(EOMONTH(DATE(YEAR($E$3),MONTH($E$3)+A27*$E$4,1),0)))),$B$6)</f>
        <v/>
      </c>
      <c r="C27" t="inlineStr">
        <is>
          <t>проценты, тело</t>
        </is>
      </c>
      <c r="D27">
        <f>B27-B26</f>
        <v/>
      </c>
      <c r="E27" s="11">
        <f>IF(YEAR(B26)=YEAR(B27),(B27-B26)/(DATE(YEAR(B26)+1,1,1)-DATE(YEAR(B26),1,1)),(DATE(YEAR(B26)+1,1,1)-B26)/(DATE(YEAR(B26)+1,1,1)-DATE(YEAR(B26),1,1))+(B27-DATE(YEAR(B27),1,1))/(DATE(YEAR(B27)+1,1,1)-DATE(YEAR(B27),1,1))+YEAR(B27)-YEAR(B26)-1)</f>
        <v/>
      </c>
      <c r="F27" s="8">
        <f>K26</f>
        <v/>
      </c>
      <c r="G27" s="7">
        <f>$B$10</f>
        <v/>
      </c>
      <c r="H27" s="8">
        <f>F27*G27*E27</f>
        <v/>
      </c>
      <c r="I27" s="8">
        <f>SUM(H27:H27)</f>
        <v/>
      </c>
      <c r="J27" s="8">
        <f>$B$7/$B$13</f>
        <v/>
      </c>
      <c r="K27" s="8">
        <f>F27-J27</f>
        <v/>
      </c>
    </row>
    <row r="28">
      <c r="A28" t="n">
        <v>32</v>
      </c>
      <c r="B28" s="10">
        <f>MIN(DATE(YEAR($E$3),MONTH($E$3)+A28*$E$4,MIN($E$5,DAY(EOMONTH(DATE(YEAR($E$3),MONTH($E$3)+A28*$E$4,1),0)))),$B$6)</f>
        <v/>
      </c>
      <c r="C28" t="inlineStr">
        <is>
          <t>проценты, тело</t>
        </is>
      </c>
      <c r="D28">
        <f>B28-B27</f>
        <v/>
      </c>
      <c r="E28" s="11">
        <f>IF(YEAR(B27)=YEAR(B28),(B28-B27)/(DATE(YEAR(B27)+1,1,1)-DATE(YEAR(B27),1,1)),(DATE(YEAR(B27)+1,1,1)-B27)/(DATE(YEAR(B27)+1,1,1)-DATE(YEAR(B27),1,1))+(B28-DATE(YEAR(B28),1,1))/(DATE(YEAR(B28)+1,1,1)-DATE(YEAR(B28),1,1))+YEAR(B28)-YEAR(B27)-1)</f>
        <v/>
      </c>
      <c r="F28" s="8">
        <f>K27</f>
        <v/>
      </c>
      <c r="G28" s="7">
        <f>$B$10</f>
        <v/>
      </c>
      <c r="H28" s="8">
        <f>F28*G28*E28</f>
        <v/>
      </c>
      <c r="I28" s="8">
        <f>SUM(H28:H28)</f>
        <v/>
      </c>
      <c r="J28" s="8">
        <f>$B$7/$B$13</f>
        <v/>
      </c>
      <c r="K28" s="8">
        <f>F28-J28</f>
        <v/>
      </c>
    </row>
    <row r="29">
      <c r="A29" t="n">
        <v>33</v>
      </c>
      <c r="B29" s="10">
        <f>MIN(DATE(YEAR($E$3),MONTH($E$3)+A29*$E$4,MIN($E$5,DAY(EOMONTH(DATE(YEAR($E$3),MONTH($E$3)+A29*$E$4,1),0)))),$B$6)</f>
        <v/>
      </c>
      <c r="C29" t="inlineStr">
        <is>
          <t>проценты, тело</t>
        </is>
      </c>
      <c r="D29">
        <f>B29-B28</f>
        <v/>
      </c>
      <c r="E29" s="11">
        <f>IF(YEAR(B28)=YEAR(B29),(B29-B28)/(DATE(YEAR(B28)+1,1,1)-DATE(YEAR(B28),1,1)),(DATE(YEAR(B28)+1,1,1)-B28)/(DATE(YEAR(B28)+1,1,1)-DATE(YEAR(B28),1,1))+(B29-DATE(YEAR(B29),1,1))/(DATE(YEAR(B29)+1,1,1)-DATE(YEAR(B29),1,1))+YEAR(B29)-YEAR(B28)-1)</f>
        <v/>
      </c>
      <c r="F29" s="8">
        <f>K28</f>
        <v/>
      </c>
      <c r="G29" s="7">
        <f>$B$10</f>
        <v/>
      </c>
      <c r="H29" s="8">
        <f>F29*G29*E29</f>
        <v/>
      </c>
      <c r="I29" s="8">
        <f>SUM(H29:H29)</f>
        <v/>
      </c>
      <c r="J29" s="8">
        <f>$B$7/$B$13</f>
        <v/>
      </c>
      <c r="K29" s="8">
        <f>F29-J29</f>
        <v/>
      </c>
    </row>
    <row r="30">
      <c r="A30" t="n">
        <v>34</v>
      </c>
      <c r="B30" s="10">
        <f>MIN(DATE(YEAR($E$3),MONTH($E$3)+A30*$E$4,MIN($E$5,DAY(EOMONTH(DATE(YEAR($E$3),MONTH($E$3)+A30*$E$4,1),0)))),$B$6)</f>
        <v/>
      </c>
      <c r="C30" t="inlineStr">
        <is>
          <t>проценты, тело</t>
        </is>
      </c>
      <c r="D30">
        <f>B30-B29</f>
        <v/>
      </c>
      <c r="E30" s="11">
        <f>IF(YEAR(B29)=YEAR(B30),(B30-B29)/(DATE(YEAR(B29)+1,1,1)-DATE(YEAR(B29),1,1)),(DATE(YEAR(B29)+1,1,1)-B29)/(DATE(YEAR(B29)+1,1,1)-DATE(YEAR(B29),1,1))+(B30-DATE(YEAR(B30),1,1))/(DATE(YEAR(B30)+1,1,1)-DATE(YEAR(B30),1,1))+YEAR(B30)-YEAR(B29)-1)</f>
        <v/>
      </c>
      <c r="F30" s="8">
        <f>K29</f>
        <v/>
      </c>
      <c r="G30" s="7">
        <f>$B$10</f>
        <v/>
      </c>
      <c r="H30" s="8">
        <f>F30*G30*E30</f>
        <v/>
      </c>
      <c r="I30" s="8">
        <f>SUM(H30:H30)</f>
        <v/>
      </c>
      <c r="J30" s="8">
        <f>$B$7/$B$13</f>
        <v/>
      </c>
      <c r="K30" s="8">
        <f>F30-J30</f>
        <v/>
      </c>
    </row>
    <row r="31">
      <c r="A31" t="n">
        <v>35</v>
      </c>
      <c r="B31" s="10">
        <f>MIN(DATE(YEAR($E$3),MONTH($E$3)+A31*$E$4,MIN($E$5,DAY(EOMONTH(DATE(YEAR($E$3),MONTH($E$3)+A31*$E$4,1),0)))),$B$6)</f>
        <v/>
      </c>
      <c r="C31" t="inlineStr">
        <is>
          <t>проценты, тело</t>
        </is>
      </c>
      <c r="D31">
        <f>B31-B30</f>
        <v/>
      </c>
      <c r="E31" s="11">
        <f>IF(YEAR(B30)=YEAR(B31),(B31-B30)/(DATE(YEAR(B30)+1,1,1)-DATE(YEAR(B30),1,1)),(DATE(YEAR(B30)+1,1,1)-B30)/(DATE(YEAR(B30)+1,1,1)-DATE(YEAR(B30),1,1))+(B31-DATE(YEAR(B31),1,1))/(DATE(YEAR(B31)+1,1,1)-DATE(YEAR(B31),1,1))+YEAR(B31)-YEAR(B30)-1)</f>
        <v/>
      </c>
      <c r="F31" s="8">
        <f>K30</f>
        <v/>
      </c>
      <c r="G31" s="7">
        <f>$B$10</f>
        <v/>
      </c>
      <c r="H31" s="8">
        <f>F31*G31*E31</f>
        <v/>
      </c>
      <c r="I31" s="8">
        <f>SUM(H31:H31)</f>
        <v/>
      </c>
      <c r="J31" s="8">
        <f>$B$7/$B$13</f>
        <v/>
      </c>
      <c r="K31" s="8">
        <f>F31-J31</f>
        <v/>
      </c>
    </row>
    <row r="32">
      <c r="A32" t="n">
        <v>36</v>
      </c>
      <c r="B32" s="10">
        <f>MIN(DATE(YEAR($E$3),MONTH($E$3)+A32*$E$4,MIN($E$5,DAY(EOMONTH(DATE(YEAR($E$3),MONTH($E$3)+A32*$E$4,1),0)))),$B$6)</f>
        <v/>
      </c>
      <c r="C32" t="inlineStr">
        <is>
          <t>проценты, тело</t>
        </is>
      </c>
      <c r="D32">
        <f>B32-B31</f>
        <v/>
      </c>
      <c r="E32" s="11">
        <f>IF(YEAR(B31)=YEAR(B32),(B32-B31)/(DATE(YEAR(B31)+1,1,1)-DATE(YEAR(B31),1,1)),(DATE(YEAR(B31)+1,1,1)-B31)/(DATE(YEAR(B31)+1,1,1)-DATE(YEAR(B31),1,1))+(B32-DATE(YEAR(B32),1,1))/(DATE(YEAR(B32)+1,1,1)-DATE(YEAR(B32),1,1))+YEAR(B32)-YEAR(B31)-1)</f>
        <v/>
      </c>
      <c r="F32" s="8">
        <f>K31</f>
        <v/>
      </c>
      <c r="G32" s="7">
        <f>$B$10</f>
        <v/>
      </c>
      <c r="H32" s="8">
        <f>F32*G32*E32</f>
        <v/>
      </c>
      <c r="I32" s="8">
        <f>SUM(H32:H32)</f>
        <v/>
      </c>
      <c r="J32" s="8">
        <f>$B$7/$B$13</f>
        <v/>
      </c>
      <c r="K32" s="8">
        <f>F32-J32</f>
        <v/>
      </c>
    </row>
    <row r="33">
      <c r="A33" t="n">
        <v>37</v>
      </c>
      <c r="B33" s="10">
        <f>MIN(DATE(YEAR($E$3),MONTH($E$3)+A33*$E$4,MIN($E$5,DAY(EOMONTH(DATE(YEAR($E$3),MONTH($E$3)+A33*$E$4,1),0)))),$B$6)</f>
        <v/>
      </c>
      <c r="C33" t="inlineStr">
        <is>
          <t>проценты, тело</t>
        </is>
      </c>
      <c r="D33">
        <f>B33-B32</f>
        <v/>
      </c>
      <c r="E33" s="11">
        <f>IF(YEAR(B32)=YEAR(B33),(B33-B32)/(DATE(YEAR(B32)+1,1,1)-DATE(YEAR(B32),1,1)),(DATE(YEAR(B32)+1,1,1)-B32)/(DATE(YEAR(B32)+1,1,1)-DATE(YEAR(B32),1,1))+(B33-DATE(YEAR(B33),1,1))/(DATE(YEAR(B33)+1,1,1)-DATE(YEAR(B33),1,1))+YEAR(B33)-YEAR(B32)-1)</f>
        <v/>
      </c>
      <c r="F33" s="8">
        <f>K32</f>
        <v/>
      </c>
      <c r="G33" s="7">
        <f>$B$10</f>
        <v/>
      </c>
      <c r="H33" s="8">
        <f>F33*G33*E33</f>
        <v/>
      </c>
      <c r="I33" s="8">
        <f>SUM(H33:H33)</f>
        <v/>
      </c>
      <c r="J33" s="8">
        <f>$B$7/$B$13</f>
        <v/>
      </c>
      <c r="K33" s="8">
        <f>F33-J33</f>
        <v/>
      </c>
    </row>
    <row r="34">
      <c r="A34" t="n">
        <v>38</v>
      </c>
      <c r="B34" s="10">
        <f>MIN(DATE(YEAR($E$3),MONTH($E$3)+A34*$E$4,MIN($E$5,DAY(EOMONTH(DATE(YEAR($E$3),MONTH($E$3)+A34*$E$4,1),0)))),$B$6)</f>
        <v/>
      </c>
      <c r="C34" t="inlineStr">
        <is>
          <t>проценты, тело</t>
        </is>
      </c>
      <c r="D34">
        <f>B34-B33</f>
        <v/>
      </c>
      <c r="E34" s="11">
        <f>IF(YEAR(B33)=YEAR(B34),(B34-B33)/(DATE(YEAR(B33)+1,1,1)-DATE(YEAR(B33),1,1)),(DATE(YEAR(B33)+1,1,1)-B33)/(DATE(YEAR(B33)+1,1,1)-DATE(YEAR(B33),1,1))+(B34-DATE(YEAR(B34),1,1))/(DATE(YEAR(B34)+1,1,1)-DATE(YEAR(B34),1,1))+YEAR(B34)-YEAR(B33)-1)</f>
        <v/>
      </c>
      <c r="F34" s="8">
        <f>K33</f>
        <v/>
      </c>
      <c r="G34" s="7">
        <f>$B$10</f>
        <v/>
      </c>
      <c r="H34" s="8">
        <f>F34*G34*E34</f>
        <v/>
      </c>
      <c r="I34" s="8">
        <f>SUM(H34:H34)</f>
        <v/>
      </c>
      <c r="J34" s="8">
        <f>$B$7/$B$13</f>
        <v/>
      </c>
      <c r="K34" s="8">
        <f>F34-J34</f>
        <v/>
      </c>
    </row>
    <row r="35">
      <c r="A35" t="n">
        <v>39</v>
      </c>
      <c r="B35" s="10">
        <f>MIN(DATE(YEAR($E$3),MONTH($E$3)+A35*$E$4,MIN($E$5,DAY(EOMONTH(DATE(YEAR($E$3),MONTH($E$3)+A35*$E$4,1),0)))),$B$6)</f>
        <v/>
      </c>
      <c r="C35" t="inlineStr">
        <is>
          <t>проценты, тело</t>
        </is>
      </c>
      <c r="D35">
        <f>B35-B34</f>
        <v/>
      </c>
      <c r="E35" s="11">
        <f>IF(YEAR(B34)=YEAR(B35),(B35-B34)/(DATE(YEAR(B34)+1,1,1)-DATE(YEAR(B34),1,1)),(DATE(YEAR(B34)+1,1,1)-B34)/(DATE(YEAR(B34)+1,1,1)-DATE(YEAR(B34),1,1))+(B35-DATE(YEAR(B35),1,1))/(DATE(YEAR(B35)+1,1,1)-DATE(YEAR(B35),1,1))+YEAR(B35)-YEAR(B34)-1)</f>
        <v/>
      </c>
      <c r="F35" s="8">
        <f>K34</f>
        <v/>
      </c>
      <c r="G35" s="7">
        <f>$B$10</f>
        <v/>
      </c>
      <c r="H35" s="8">
        <f>F35*G35*E35</f>
        <v/>
      </c>
      <c r="I35" s="8">
        <f>SUM(H35:H35)</f>
        <v/>
      </c>
      <c r="J35" s="8">
        <f>$B$7/$B$13</f>
        <v/>
      </c>
      <c r="K35" s="8">
        <f>F35-J35</f>
        <v/>
      </c>
    </row>
    <row r="36">
      <c r="A36" t="n">
        <v>40</v>
      </c>
      <c r="B36" s="10">
        <f>MIN(DATE(YEAR($E$3),MONTH($E$3)+A36*$E$4,MIN($E$5,DAY(EOMONTH(DATE(YEAR($E$3),MONTH($E$3)+A36*$E$4,1),0)))),$B$6)</f>
        <v/>
      </c>
      <c r="C36" t="inlineStr">
        <is>
          <t>проценты, тело</t>
        </is>
      </c>
      <c r="D36">
        <f>B36-B35</f>
        <v/>
      </c>
      <c r="E36" s="11">
        <f>IF(YEAR(B35)=YEAR(B36),(B36-B35)/(DATE(YEAR(B35)+1,1,1)-DATE(YEAR(B35),1,1)),(DATE(YEAR(B35)+1,1,1)-B35)/(DATE(YEAR(B35)+1,1,1)-DATE(YEAR(B35),1,1))+(B36-DATE(YEAR(B36),1,1))/(DATE(YEAR(B36)+1,1,1)-DATE(YEAR(B36),1,1))+YEAR(B36)-YEAR(B35)-1)</f>
        <v/>
      </c>
      <c r="F36" s="8">
        <f>K35</f>
        <v/>
      </c>
      <c r="G36" s="7">
        <f>$B$10</f>
        <v/>
      </c>
      <c r="H36" s="8">
        <f>F36*G36*E36</f>
        <v/>
      </c>
      <c r="I36" s="8">
        <f>SUM(H36:H36)</f>
        <v/>
      </c>
      <c r="J36" s="8">
        <f>$B$7/$B$13</f>
        <v/>
      </c>
      <c r="K36" s="8">
        <f>F36-J36</f>
        <v/>
      </c>
    </row>
    <row r="37">
      <c r="A37" t="n">
        <v>41</v>
      </c>
      <c r="B37" s="10">
        <f>MIN(DATE(YEAR($E$3),MONTH($E$3)+A37*$E$4,MIN($E$5,DAY(EOMONTH(DATE(YEAR($E$3),MONTH($E$3)+A37*$E$4,1),0)))),$B$6)</f>
        <v/>
      </c>
      <c r="C37" t="inlineStr">
        <is>
          <t>проценты, тело</t>
        </is>
      </c>
      <c r="D37">
        <f>B37-B36</f>
        <v/>
      </c>
      <c r="E37" s="11">
        <f>IF(YEAR(B36)=YEAR(B37),(B37-B36)/(DATE(YEAR(B36)+1,1,1)-DATE(YEAR(B36),1,1)),(DATE(YEAR(B36)+1,1,1)-B36)/(DATE(YEAR(B36)+1,1,1)-DATE(YEAR(B36),1,1))+(B37-DATE(YEAR(B37),1,1))/(DATE(YEAR(B37)+1,1,1)-DATE(YEAR(B37),1,1))+YEAR(B37)-YEAR(B36)-1)</f>
        <v/>
      </c>
      <c r="F37" s="8">
        <f>K36</f>
        <v/>
      </c>
      <c r="G37" s="7">
        <f>$B$10</f>
        <v/>
      </c>
      <c r="H37" s="8">
        <f>F37*G37*E37</f>
        <v/>
      </c>
      <c r="I37" s="8">
        <f>SUM(H37:H37)</f>
        <v/>
      </c>
      <c r="J37" s="8">
        <f>$B$7/$B$13</f>
        <v/>
      </c>
      <c r="K37" s="8">
        <f>F37-J37</f>
        <v/>
      </c>
    </row>
    <row r="38">
      <c r="A38" t="n">
        <v>42</v>
      </c>
      <c r="B38" s="10">
        <f>MIN(DATE(YEAR($E$3),MONTH($E$3)+A38*$E$4,MIN($E$5,DAY(EOMONTH(DATE(YEAR($E$3),MONTH($E$3)+A38*$E$4,1),0)))),$B$6)</f>
        <v/>
      </c>
      <c r="C38" t="inlineStr">
        <is>
          <t>проценты, тело</t>
        </is>
      </c>
      <c r="D38">
        <f>B38-B37</f>
        <v/>
      </c>
      <c r="E38" s="11">
        <f>IF(YEAR(B37)=YEAR(B38),(B38-B37)/(DATE(YEAR(B37)+1,1,1)-DATE(YEAR(B37),1,1)),(DATE(YEAR(B37)+1,1,1)-B37)/(DATE(YEAR(B37)+1,1,1)-DATE(YEAR(B37),1,1))+(B38-DATE(YEAR(B38),1,1))/(DATE(YEAR(B38)+1,1,1)-DATE(YEAR(B38),1,1))+YEAR(B38)-YEAR(B37)-1)</f>
        <v/>
      </c>
      <c r="F38" s="8">
        <f>K37</f>
        <v/>
      </c>
      <c r="G38" s="7">
        <f>$B$10</f>
        <v/>
      </c>
      <c r="H38" s="8">
        <f>F38*G38*E38</f>
        <v/>
      </c>
      <c r="I38" s="8">
        <f>SUM(H38:H38)</f>
        <v/>
      </c>
      <c r="J38" s="8">
        <f>$B$7/$B$13</f>
        <v/>
      </c>
      <c r="K38" s="8">
        <f>F38-J38</f>
        <v/>
      </c>
    </row>
    <row r="39">
      <c r="A39" t="n">
        <v>43</v>
      </c>
      <c r="B39" s="10">
        <f>MIN(DATE(YEAR($E$3),MONTH($E$3)+A39*$E$4,MIN($E$5,DAY(EOMONTH(DATE(YEAR($E$3),MONTH($E$3)+A39*$E$4,1),0)))),$B$6)</f>
        <v/>
      </c>
      <c r="C39" t="inlineStr">
        <is>
          <t>проценты, тело</t>
        </is>
      </c>
      <c r="D39">
        <f>B39-B38</f>
        <v/>
      </c>
      <c r="E39" s="11">
        <f>IF(YEAR(B38)=YEAR(B39),(B39-B38)/(DATE(YEAR(B38)+1,1,1)-DATE(YEAR(B38),1,1)),(DATE(YEAR(B38)+1,1,1)-B38)/(DATE(YEAR(B38)+1,1,1)-DATE(YEAR(B38),1,1))+(B39-DATE(YEAR(B39),1,1))/(DATE(YEAR(B39)+1,1,1)-DATE(YEAR(B39),1,1))+YEAR(B39)-YEAR(B38)-1)</f>
        <v/>
      </c>
      <c r="F39" s="8">
        <f>K38</f>
        <v/>
      </c>
      <c r="G39" s="7">
        <f>$B$10</f>
        <v/>
      </c>
      <c r="H39" s="8">
        <f>F39*G39*E39</f>
        <v/>
      </c>
      <c r="I39" s="8">
        <f>SUM(H39:H39)</f>
        <v/>
      </c>
      <c r="J39" s="8">
        <f>$B$7/$B$13</f>
        <v/>
      </c>
      <c r="K39" s="8">
        <f>F39-J39</f>
        <v/>
      </c>
    </row>
    <row r="40">
      <c r="A40" t="n">
        <v>44</v>
      </c>
      <c r="B40" s="10">
        <f>MIN(DATE(YEAR($E$3),MONTH($E$3)+A40*$E$4,MIN($E$5,DAY(EOMONTH(DATE(YEAR($E$3),MONTH($E$3)+A40*$E$4,1),0)))),$B$6)</f>
        <v/>
      </c>
      <c r="C40" t="inlineStr">
        <is>
          <t>проценты, тело</t>
        </is>
      </c>
      <c r="D40">
        <f>B40-B39</f>
        <v/>
      </c>
      <c r="E40" s="11">
        <f>IF(YEAR(B39)=YEAR(B40),(B40-B39)/(DATE(YEAR(B39)+1,1,1)-DATE(YEAR(B39),1,1)),(DATE(YEAR(B39)+1,1,1)-B39)/(DATE(YEAR(B39)+1,1,1)-DATE(YEAR(B39),1,1))+(B40-DATE(YEAR(B40),1,1))/(DATE(YEAR(B40)+1,1,1)-DATE(YEAR(B40),1,1))+YEAR(B40)-YEAR(B39)-1)</f>
        <v/>
      </c>
      <c r="F40" s="8">
        <f>K39</f>
        <v/>
      </c>
      <c r="G40" s="7">
        <f>$B$10</f>
        <v/>
      </c>
      <c r="H40" s="8">
        <f>F40*G40*E40</f>
        <v/>
      </c>
      <c r="I40" s="8">
        <f>SUM(H40:H40)</f>
        <v/>
      </c>
      <c r="J40" s="8">
        <f>$B$7/$B$13</f>
        <v/>
      </c>
      <c r="K40" s="8">
        <f>F40-J40</f>
        <v/>
      </c>
    </row>
    <row r="41">
      <c r="A41" t="n">
        <v>45</v>
      </c>
      <c r="B41" s="10">
        <f>MIN(DATE(YEAR($E$3),MONTH($E$3)+A41*$E$4,MIN($E$5,DAY(EOMONTH(DATE(YEAR($E$3),MONTH($E$3)+A41*$E$4,1),0)))),$B$6)</f>
        <v/>
      </c>
      <c r="C41" t="inlineStr">
        <is>
          <t>проценты, тело</t>
        </is>
      </c>
      <c r="D41">
        <f>B41-B40</f>
        <v/>
      </c>
      <c r="E41" s="11">
        <f>IF(YEAR(B40)=YEAR(B41),(B41-B40)/(DATE(YEAR(B40)+1,1,1)-DATE(YEAR(B40),1,1)),(DATE(YEAR(B40)+1,1,1)-B40)/(DATE(YEAR(B40)+1,1,1)-DATE(YEAR(B40),1,1))+(B41-DATE(YEAR(B41),1,1))/(DATE(YEAR(B41)+1,1,1)-DATE(YEAR(B41),1,1))+YEAR(B41)-YEAR(B40)-1)</f>
        <v/>
      </c>
      <c r="F41" s="8">
        <f>K40</f>
        <v/>
      </c>
      <c r="G41" s="7">
        <f>$B$10</f>
        <v/>
      </c>
      <c r="H41" s="8">
        <f>F41*G41*E41</f>
        <v/>
      </c>
      <c r="I41" s="8">
        <f>SUM(H41:H41)</f>
        <v/>
      </c>
      <c r="J41" s="8">
        <f>$B$7/$B$13</f>
        <v/>
      </c>
      <c r="K41" s="8">
        <f>F41-J41</f>
        <v/>
      </c>
    </row>
    <row r="42">
      <c r="A42" t="n">
        <v>46</v>
      </c>
      <c r="B42" s="10">
        <f>MIN(DATE(YEAR($E$3),MONTH($E$3)+A42*$E$4,MIN($E$5,DAY(EOMONTH(DATE(YEAR($E$3),MONTH($E$3)+A42*$E$4,1),0)))),$B$6)</f>
        <v/>
      </c>
      <c r="C42" t="inlineStr">
        <is>
          <t>проценты, тело</t>
        </is>
      </c>
      <c r="D42">
        <f>B42-B41</f>
        <v/>
      </c>
      <c r="E42" s="11">
        <f>IF(YEAR(B41)=YEAR(B42),(B42-B41)/(DATE(YEAR(B41)+1,1,1)-DATE(YEAR(B41),1,1)),(DATE(YEAR(B41)+1,1,1)-B41)/(DATE(YEAR(B41)+1,1,1)-DATE(YEAR(B41),1,1))+(B42-DATE(YEAR(B42),1,1))/(DATE(YEAR(B42)+1,1,1)-DATE(YEAR(B42),1,1))+YEAR(B42)-YEAR(B41)-1)</f>
        <v/>
      </c>
      <c r="F42" s="8">
        <f>K41</f>
        <v/>
      </c>
      <c r="G42" s="7">
        <f>$B$10</f>
        <v/>
      </c>
      <c r="H42" s="8">
        <f>F42*G42*E42</f>
        <v/>
      </c>
      <c r="I42" s="8">
        <f>SUM(H42:H42)</f>
        <v/>
      </c>
      <c r="J42" s="8">
        <f>$B$7/$B$13</f>
        <v/>
      </c>
      <c r="K42" s="8">
        <f>F42-J42</f>
        <v/>
      </c>
    </row>
    <row r="43">
      <c r="A43" t="n">
        <v>47</v>
      </c>
      <c r="B43" s="10">
        <f>MIN(DATE(YEAR($E$3),MONTH($E$3)+A43*$E$4,MIN($E$5,DAY(EOMONTH(DATE(YEAR($E$3),MONTH($E$3)+A43*$E$4,1),0)))),$B$6)</f>
        <v/>
      </c>
      <c r="C43" t="inlineStr">
        <is>
          <t>проценты, тело</t>
        </is>
      </c>
      <c r="D43">
        <f>B43-B42</f>
        <v/>
      </c>
      <c r="E43" s="11">
        <f>IF(YEAR(B42)=YEAR(B43),(B43-B42)/(DATE(YEAR(B42)+1,1,1)-DATE(YEAR(B42),1,1)),(DATE(YEAR(B42)+1,1,1)-B42)/(DATE(YEAR(B42)+1,1,1)-DATE(YEAR(B42),1,1))+(B43-DATE(YEAR(B43),1,1))/(DATE(YEAR(B43)+1,1,1)-DATE(YEAR(B43),1,1))+YEAR(B43)-YEAR(B42)-1)</f>
        <v/>
      </c>
      <c r="F43" s="8">
        <f>K42</f>
        <v/>
      </c>
      <c r="G43" s="7">
        <f>$B$10</f>
        <v/>
      </c>
      <c r="H43" s="8">
        <f>F43*G43*E43</f>
        <v/>
      </c>
      <c r="I43" s="8">
        <f>SUM(H43:H43)</f>
        <v/>
      </c>
      <c r="J43" s="8">
        <f>$B$7/$B$13</f>
        <v/>
      </c>
      <c r="K43" s="8">
        <f>F43-J43</f>
        <v/>
      </c>
    </row>
    <row r="44">
      <c r="A44" t="n">
        <v>48</v>
      </c>
      <c r="B44" s="10">
        <f>MIN(DATE(YEAR($E$3),MONTH($E$3)+A44*$E$4,MIN($E$5,DAY(EOMONTH(DATE(YEAR($E$3),MONTH($E$3)+A44*$E$4,1),0)))),$B$6)</f>
        <v/>
      </c>
      <c r="C44" t="inlineStr">
        <is>
          <t>проценты, тело</t>
        </is>
      </c>
      <c r="D44">
        <f>B44-B43</f>
        <v/>
      </c>
      <c r="E44" s="11">
        <f>IF(YEAR(B43)=YEAR(B44),(B44-B43)/(DATE(YEAR(B43)+1,1,1)-DATE(YEAR(B43),1,1)),(DATE(YEAR(B43)+1,1,1)-B43)/(DATE(YEAR(B43)+1,1,1)-DATE(YEAR(B43),1,1))+(B44-DATE(YEAR(B44),1,1))/(DATE(YEAR(B44)+1,1,1)-DATE(YEAR(B44),1,1))+YEAR(B44)-YEAR(B43)-1)</f>
        <v/>
      </c>
      <c r="F44" s="8">
        <f>K43</f>
        <v/>
      </c>
      <c r="G44" s="7">
        <f>$B$10</f>
        <v/>
      </c>
      <c r="H44" s="8">
        <f>F44*G44*E44</f>
        <v/>
      </c>
      <c r="I44" s="8">
        <f>SUM(H44:H44)</f>
        <v/>
      </c>
      <c r="J44" s="8">
        <f>$B$7/$B$13</f>
        <v/>
      </c>
      <c r="K44" s="8">
        <f>F44-J44</f>
        <v/>
      </c>
    </row>
    <row r="45">
      <c r="A45" t="n">
        <v>49</v>
      </c>
      <c r="B45" s="10">
        <f>MIN(DATE(YEAR($E$3),MONTH($E$3)+A45*$E$4,MIN($E$5,DAY(EOMONTH(DATE(YEAR($E$3),MONTH($E$3)+A45*$E$4,1),0)))),$B$6)</f>
        <v/>
      </c>
      <c r="C45" t="inlineStr">
        <is>
          <t>проценты, тело</t>
        </is>
      </c>
      <c r="D45">
        <f>B45-B44</f>
        <v/>
      </c>
      <c r="E45" s="11">
        <f>IF(YEAR(B44)=YEAR(B45),(B45-B44)/(DATE(YEAR(B44)+1,1,1)-DATE(YEAR(B44),1,1)),(DATE(YEAR(B44)+1,1,1)-B44)/(DATE(YEAR(B44)+1,1,1)-DATE(YEAR(B44),1,1))+(B45-DATE(YEAR(B45),1,1))/(DATE(YEAR(B45)+1,1,1)-DATE(YEAR(B45),1,1))+YEAR(B45)-YEAR(B44)-1)</f>
        <v/>
      </c>
      <c r="F45" s="8">
        <f>K44</f>
        <v/>
      </c>
      <c r="G45" s="7">
        <f>$B$10</f>
        <v/>
      </c>
      <c r="H45" s="8">
        <f>F45*G45*E45</f>
        <v/>
      </c>
      <c r="I45" s="8">
        <f>SUM(H45:H45)</f>
        <v/>
      </c>
      <c r="J45" s="8">
        <f>$B$7/$B$13</f>
        <v/>
      </c>
      <c r="K45" s="8">
        <f>F45-J45</f>
        <v/>
      </c>
    </row>
    <row r="46">
      <c r="A46" t="n">
        <v>50</v>
      </c>
      <c r="B46" s="10">
        <f>MIN(DATE(YEAR($E$3),MONTH($E$3)+A46*$E$4,MIN($E$5,DAY(EOMONTH(DATE(YEAR($E$3),MONTH($E$3)+A46*$E$4,1),0)))),$B$6)</f>
        <v/>
      </c>
      <c r="C46" t="inlineStr">
        <is>
          <t>проценты, тело</t>
        </is>
      </c>
      <c r="D46">
        <f>B46-B45</f>
        <v/>
      </c>
      <c r="E46" s="11">
        <f>IF(YEAR(B45)=YEAR(B46),(B46-B45)/(DATE(YEAR(B45)+1,1,1)-DATE(YEAR(B45),1,1)),(DATE(YEAR(B45)+1,1,1)-B45)/(DATE(YEAR(B45)+1,1,1)-DATE(YEAR(B45),1,1))+(B46-DATE(YEAR(B46),1,1))/(DATE(YEAR(B46)+1,1,1)-DATE(YEAR(B46),1,1))+YEAR(B46)-YEAR(B45)-1)</f>
        <v/>
      </c>
      <c r="F46" s="8">
        <f>K45</f>
        <v/>
      </c>
      <c r="G46" s="7">
        <f>$B$10</f>
        <v/>
      </c>
      <c r="H46" s="8">
        <f>F46*G46*E46</f>
        <v/>
      </c>
      <c r="I46" s="8">
        <f>SUM(H46:H46)</f>
        <v/>
      </c>
      <c r="J46" s="8">
        <f>$B$7/$B$13</f>
        <v/>
      </c>
      <c r="K46" s="8">
        <f>F46-J46</f>
        <v/>
      </c>
    </row>
    <row r="47">
      <c r="A47" t="n">
        <v>51</v>
      </c>
      <c r="B47" s="10">
        <f>MIN(DATE(YEAR($E$3),MONTH($E$3)+A47*$E$4,MIN($E$5,DAY(EOMONTH(DATE(YEAR($E$3),MONTH($E$3)+A47*$E$4,1),0)))),$B$6)</f>
        <v/>
      </c>
      <c r="C47" t="inlineStr">
        <is>
          <t>проценты, тело</t>
        </is>
      </c>
      <c r="D47">
        <f>B47-B46</f>
        <v/>
      </c>
      <c r="E47" s="11">
        <f>IF(YEAR(B46)=YEAR(B47),(B47-B46)/(DATE(YEAR(B46)+1,1,1)-DATE(YEAR(B46),1,1)),(DATE(YEAR(B46)+1,1,1)-B46)/(DATE(YEAR(B46)+1,1,1)-DATE(YEAR(B46),1,1))+(B47-DATE(YEAR(B47),1,1))/(DATE(YEAR(B47)+1,1,1)-DATE(YEAR(B47),1,1))+YEAR(B47)-YEAR(B46)-1)</f>
        <v/>
      </c>
      <c r="F47" s="8">
        <f>K46</f>
        <v/>
      </c>
      <c r="G47" s="7">
        <f>$B$10</f>
        <v/>
      </c>
      <c r="H47" s="8">
        <f>F47*G47*E47</f>
        <v/>
      </c>
      <c r="I47" s="8">
        <f>SUM(H47:H47)</f>
        <v/>
      </c>
      <c r="J47" s="8">
        <f>$B$7/$B$13</f>
        <v/>
      </c>
      <c r="K47" s="8">
        <f>F47-J47</f>
        <v/>
      </c>
    </row>
    <row r="48">
      <c r="A48" t="n">
        <v>52</v>
      </c>
      <c r="B48" s="10">
        <f>MIN(DATE(YEAR($E$3),MONTH($E$3)+A48*$E$4,MIN($E$5,DAY(EOMONTH(DATE(YEAR($E$3),MONTH($E$3)+A48*$E$4,1),0)))),$B$6)</f>
        <v/>
      </c>
      <c r="C48" t="inlineStr">
        <is>
          <t>проценты, тело</t>
        </is>
      </c>
      <c r="D48">
        <f>B48-B47</f>
        <v/>
      </c>
      <c r="E48" s="11">
        <f>IF(YEAR(B47)=YEAR(B48),(B48-B47)/(DATE(YEAR(B47)+1,1,1)-DATE(YEAR(B47),1,1)),(DATE(YEAR(B47)+1,1,1)-B47)/(DATE(YEAR(B47)+1,1,1)-DATE(YEAR(B47),1,1))+(B48-DATE(YEAR(B48),1,1))/(DATE(YEAR(B48)+1,1,1)-DATE(YEAR(B48),1,1))+YEAR(B48)-YEAR(B47)-1)</f>
        <v/>
      </c>
      <c r="F48" s="8">
        <f>K47</f>
        <v/>
      </c>
      <c r="G48" s="7">
        <f>$B$10</f>
        <v/>
      </c>
      <c r="H48" s="8">
        <f>F48*G48*E48</f>
        <v/>
      </c>
      <c r="I48" s="8">
        <f>SUM(H48:H48)</f>
        <v/>
      </c>
      <c r="J48" s="8">
        <f>$B$7/$B$13</f>
        <v/>
      </c>
      <c r="K48" s="8">
        <f>F48-J48</f>
        <v/>
      </c>
    </row>
    <row r="49">
      <c r="A49" t="n">
        <v>53</v>
      </c>
      <c r="B49" s="10">
        <f>MIN(DATE(YEAR($E$3),MONTH($E$3)+A49*$E$4,MIN($E$5,DAY(EOMONTH(DATE(YEAR($E$3),MONTH($E$3)+A49*$E$4,1),0)))),$B$6)</f>
        <v/>
      </c>
      <c r="C49" t="inlineStr">
        <is>
          <t>проценты, тело</t>
        </is>
      </c>
      <c r="D49">
        <f>B49-B48</f>
        <v/>
      </c>
      <c r="E49" s="11">
        <f>IF(YEAR(B48)=YEAR(B49),(B49-B48)/(DATE(YEAR(B48)+1,1,1)-DATE(YEAR(B48),1,1)),(DATE(YEAR(B48)+1,1,1)-B48)/(DATE(YEAR(B48)+1,1,1)-DATE(YEAR(B48),1,1))+(B49-DATE(YEAR(B49),1,1))/(DATE(YEAR(B49)+1,1,1)-DATE(YEAR(B49),1,1))+YEAR(B49)-YEAR(B48)-1)</f>
        <v/>
      </c>
      <c r="F49" s="8">
        <f>K48</f>
        <v/>
      </c>
      <c r="G49" s="7">
        <f>$B$10</f>
        <v/>
      </c>
      <c r="H49" s="8">
        <f>F49*G49*E49</f>
        <v/>
      </c>
      <c r="I49" s="8">
        <f>SUM(H49:H49)</f>
        <v/>
      </c>
      <c r="J49" s="8">
        <f>$B$7/$B$13</f>
        <v/>
      </c>
      <c r="K49" s="8">
        <f>F49-J49</f>
        <v/>
      </c>
    </row>
    <row r="50">
      <c r="A50" t="n">
        <v>54</v>
      </c>
      <c r="B50" s="10">
        <f>MIN(DATE(YEAR($E$3),MONTH($E$3)+A50*$E$4,MIN($E$5,DAY(EOMONTH(DATE(YEAR($E$3),MONTH($E$3)+A50*$E$4,1),0)))),$B$6)</f>
        <v/>
      </c>
      <c r="C50" t="inlineStr">
        <is>
          <t>проценты, тело</t>
        </is>
      </c>
      <c r="D50">
        <f>B50-B49</f>
        <v/>
      </c>
      <c r="E50" s="11">
        <f>IF(YEAR(B49)=YEAR(B50),(B50-B49)/(DATE(YEAR(B49)+1,1,1)-DATE(YEAR(B49),1,1)),(DATE(YEAR(B49)+1,1,1)-B49)/(DATE(YEAR(B49)+1,1,1)-DATE(YEAR(B49),1,1))+(B50-DATE(YEAR(B50),1,1))/(DATE(YEAR(B50)+1,1,1)-DATE(YEAR(B50),1,1))+YEAR(B50)-YEAR(B49)-1)</f>
        <v/>
      </c>
      <c r="F50" s="8">
        <f>K49</f>
        <v/>
      </c>
      <c r="G50" s="7">
        <f>$B$10</f>
        <v/>
      </c>
      <c r="H50" s="8">
        <f>F50*G50*E50</f>
        <v/>
      </c>
      <c r="I50" s="8">
        <f>SUM(H50:H50)</f>
        <v/>
      </c>
      <c r="J50" s="8">
        <f>$B$7/$B$13</f>
        <v/>
      </c>
      <c r="K50" s="8">
        <f>F50-J50</f>
        <v/>
      </c>
    </row>
    <row r="51">
      <c r="A51" t="n">
        <v>55</v>
      </c>
      <c r="B51" s="10">
        <f>MIN(DATE(YEAR($E$3),MONTH($E$3)+A51*$E$4,MIN($E$5,DAY(EOMONTH(DATE(YEAR($E$3),MONTH($E$3)+A51*$E$4,1),0)))),$B$6)</f>
        <v/>
      </c>
      <c r="C51" t="inlineStr">
        <is>
          <t>проценты, тело</t>
        </is>
      </c>
      <c r="D51">
        <f>B51-B50</f>
        <v/>
      </c>
      <c r="E51" s="11">
        <f>IF(YEAR(B50)=YEAR(B51),(B51-B50)/(DATE(YEAR(B50)+1,1,1)-DATE(YEAR(B50),1,1)),(DATE(YEAR(B50)+1,1,1)-B50)/(DATE(YEAR(B50)+1,1,1)-DATE(YEAR(B50),1,1))+(B51-DATE(YEAR(B51),1,1))/(DATE(YEAR(B51)+1,1,1)-DATE(YEAR(B51),1,1))+YEAR(B51)-YEAR(B50)-1)</f>
        <v/>
      </c>
      <c r="F51" s="8">
        <f>K50</f>
        <v/>
      </c>
      <c r="G51" s="7">
        <f>$B$10</f>
        <v/>
      </c>
      <c r="H51" s="8">
        <f>F51*G51*E51</f>
        <v/>
      </c>
      <c r="I51" s="8">
        <f>SUM(H51:H51)</f>
        <v/>
      </c>
      <c r="J51" s="8">
        <f>$B$7/$B$13</f>
        <v/>
      </c>
      <c r="K51" s="8">
        <f>F51-J51</f>
        <v/>
      </c>
    </row>
    <row r="52">
      <c r="A52" t="n">
        <v>56</v>
      </c>
      <c r="B52" s="10">
        <f>MIN(DATE(YEAR($E$3),MONTH($E$3)+A52*$E$4,MIN($E$5,DAY(EOMONTH(DATE(YEAR($E$3),MONTH($E$3)+A52*$E$4,1),0)))),$B$6)</f>
        <v/>
      </c>
      <c r="C52" t="inlineStr">
        <is>
          <t>проценты, тело</t>
        </is>
      </c>
      <c r="D52">
        <f>B52-B51</f>
        <v/>
      </c>
      <c r="E52" s="11">
        <f>IF(YEAR(B51)=YEAR(B52),(B52-B51)/(DATE(YEAR(B51)+1,1,1)-DATE(YEAR(B51),1,1)),(DATE(YEAR(B51)+1,1,1)-B51)/(DATE(YEAR(B51)+1,1,1)-DATE(YEAR(B51),1,1))+(B52-DATE(YEAR(B52),1,1))/(DATE(YEAR(B52)+1,1,1)-DATE(YEAR(B52),1,1))+YEAR(B52)-YEAR(B51)-1)</f>
        <v/>
      </c>
      <c r="F52" s="8">
        <f>K51</f>
        <v/>
      </c>
      <c r="G52" s="7">
        <f>$B$10</f>
        <v/>
      </c>
      <c r="H52" s="8">
        <f>F52*G52*E52</f>
        <v/>
      </c>
      <c r="I52" s="8">
        <f>SUM(H52:H52)</f>
        <v/>
      </c>
      <c r="J52" s="8">
        <f>$B$7/$B$13</f>
        <v/>
      </c>
      <c r="K52" s="8">
        <f>F52-J52</f>
        <v/>
      </c>
    </row>
    <row r="53">
      <c r="A53" t="n">
        <v>57</v>
      </c>
      <c r="B53" s="10">
        <f>MIN(DATE(YEAR($E$3),MONTH($E$3)+A53*$E$4,MIN($E$5,DAY(EOMONTH(DATE(YEAR($E$3),MONTH($E$3)+A53*$E$4,1),0)))),$B$6)</f>
        <v/>
      </c>
      <c r="C53" t="inlineStr">
        <is>
          <t>проценты, тело</t>
        </is>
      </c>
      <c r="D53">
        <f>B53-B52</f>
        <v/>
      </c>
      <c r="E53" s="11">
        <f>IF(YEAR(B52)=YEAR(B53),(B53-B52)/(DATE(YEAR(B52)+1,1,1)-DATE(YEAR(B52),1,1)),(DATE(YEAR(B52)+1,1,1)-B52)/(DATE(YEAR(B52)+1,1,1)-DATE(YEAR(B52),1,1))+(B53-DATE(YEAR(B53),1,1))/(DATE(YEAR(B53)+1,1,1)-DATE(YEAR(B53),1,1))+YEAR(B53)-YEAR(B52)-1)</f>
        <v/>
      </c>
      <c r="F53" s="8">
        <f>K52</f>
        <v/>
      </c>
      <c r="G53" s="7">
        <f>$B$10</f>
        <v/>
      </c>
      <c r="H53" s="8">
        <f>F53*G53*E53</f>
        <v/>
      </c>
      <c r="I53" s="8">
        <f>SUM(H53:H53)</f>
        <v/>
      </c>
      <c r="J53" s="8">
        <f>$B$7/$B$13</f>
        <v/>
      </c>
      <c r="K53" s="8">
        <f>F53-J53</f>
        <v/>
      </c>
    </row>
    <row r="54">
      <c r="A54" t="n">
        <v>58</v>
      </c>
      <c r="B54" s="10">
        <f>MIN(DATE(YEAR($E$3),MONTH($E$3)+A54*$E$4,MIN($E$5,DAY(EOMONTH(DATE(YEAR($E$3),MONTH($E$3)+A54*$E$4,1),0)))),$B$6)</f>
        <v/>
      </c>
      <c r="C54" t="inlineStr">
        <is>
          <t>проценты, тело</t>
        </is>
      </c>
      <c r="D54">
        <f>B54-B53</f>
        <v/>
      </c>
      <c r="E54" s="11">
        <f>IF(YEAR(B53)=YEAR(B54),(B54-B53)/(DATE(YEAR(B53)+1,1,1)-DATE(YEAR(B53),1,1)),(DATE(YEAR(B53)+1,1,1)-B53)/(DATE(YEAR(B53)+1,1,1)-DATE(YEAR(B53),1,1))+(B54-DATE(YEAR(B54),1,1))/(DATE(YEAR(B54)+1,1,1)-DATE(YEAR(B54),1,1))+YEAR(B54)-YEAR(B53)-1)</f>
        <v/>
      </c>
      <c r="F54" s="8">
        <f>K53</f>
        <v/>
      </c>
      <c r="G54" s="7">
        <f>$B$10</f>
        <v/>
      </c>
      <c r="H54" s="8">
        <f>F54*G54*E54</f>
        <v/>
      </c>
      <c r="I54" s="8">
        <f>SUM(H54:H54)</f>
        <v/>
      </c>
      <c r="J54" s="8">
        <f>$B$7/$B$13</f>
        <v/>
      </c>
      <c r="K54" s="8">
        <f>F54-J54</f>
        <v/>
      </c>
    </row>
    <row r="55">
      <c r="A55" t="n">
        <v>59</v>
      </c>
      <c r="B55" s="10">
        <f>MIN(DATE(YEAR($E$3),MONTH($E$3)+A55*$E$4,MIN($E$5,DAY(EOMONTH(DATE(YEAR($E$3),MONTH($E$3)+A55*$E$4,1),0)))),$B$6)</f>
        <v/>
      </c>
      <c r="C55" t="inlineStr">
        <is>
          <t>проценты, тело</t>
        </is>
      </c>
      <c r="D55">
        <f>B55-B54</f>
        <v/>
      </c>
      <c r="E55" s="11">
        <f>IF(YEAR(B54)=YEAR(B55),(B55-B54)/(DATE(YEAR(B54)+1,1,1)-DATE(YEAR(B54),1,1)),(DATE(YEAR(B54)+1,1,1)-B54)/(DATE(YEAR(B54)+1,1,1)-DATE(YEAR(B54),1,1))+(B55-DATE(YEAR(B55),1,1))/(DATE(YEAR(B55)+1,1,1)-DATE(YEAR(B55),1,1))+YEAR(B55)-YEAR(B54)-1)</f>
        <v/>
      </c>
      <c r="F55" s="8">
        <f>K54</f>
        <v/>
      </c>
      <c r="G55" s="7">
        <f>$B$10</f>
        <v/>
      </c>
      <c r="H55" s="8">
        <f>F55*G55*E55</f>
        <v/>
      </c>
      <c r="I55" s="8">
        <f>SUM(H55:H55)</f>
        <v/>
      </c>
      <c r="J55" s="8">
        <f>$B$7/$B$13</f>
        <v/>
      </c>
      <c r="K55" s="8">
        <f>F55-J55</f>
        <v/>
      </c>
    </row>
    <row r="56">
      <c r="A56" t="n">
        <v>60</v>
      </c>
      <c r="B56" s="10">
        <f>MIN(DATE(YEAR($E$3),MONTH($E$3)+A56*$E$4,MIN($E$5,DAY(EOMONTH(DATE(YEAR($E$3),MONTH($E$3)+A56*$E$4,1),0)))),$B$6)</f>
        <v/>
      </c>
      <c r="C56" t="inlineStr">
        <is>
          <t>проценты, тело</t>
        </is>
      </c>
      <c r="D56">
        <f>B56-B55</f>
        <v/>
      </c>
      <c r="E56" s="11">
        <f>IF(YEAR(B55)=YEAR(B56),(B56-B55)/(DATE(YEAR(B55)+1,1,1)-DATE(YEAR(B55),1,1)),(DATE(YEAR(B55)+1,1,1)-B55)/(DATE(YEAR(B55)+1,1,1)-DATE(YEAR(B55),1,1))+(B56-DATE(YEAR(B56),1,1))/(DATE(YEAR(B56)+1,1,1)-DATE(YEAR(B56),1,1))+YEAR(B56)-YEAR(B55)-1)</f>
        <v/>
      </c>
      <c r="F56" s="8">
        <f>K55</f>
        <v/>
      </c>
      <c r="G56" s="7">
        <f>$B$10</f>
        <v/>
      </c>
      <c r="H56" s="8">
        <f>F56*G56*E56</f>
        <v/>
      </c>
      <c r="I56" s="8">
        <f>SUM(H56:H56)</f>
        <v/>
      </c>
      <c r="J56" s="8">
        <f>$B$7/$B$13</f>
        <v/>
      </c>
      <c r="K56" s="8">
        <f>F56-J56</f>
        <v/>
      </c>
    </row>
    <row r="57">
      <c r="A57" t="n">
        <v>61</v>
      </c>
      <c r="B57" s="10">
        <f>MIN(DATE(YEAR($E$3),MONTH($E$3)+A57*$E$4,MIN($E$5,DAY(EOMONTH(DATE(YEAR($E$3),MONTH($E$3)+A57*$E$4,1),0)))),$B$6)</f>
        <v/>
      </c>
      <c r="C57" t="inlineStr">
        <is>
          <t>проценты, тело</t>
        </is>
      </c>
      <c r="D57">
        <f>B57-B56</f>
        <v/>
      </c>
      <c r="E57" s="11">
        <f>IF(YEAR(B56)=YEAR(B57),(B57-B56)/(DATE(YEAR(B56)+1,1,1)-DATE(YEAR(B56),1,1)),(DATE(YEAR(B56)+1,1,1)-B56)/(DATE(YEAR(B56)+1,1,1)-DATE(YEAR(B56),1,1))+(B57-DATE(YEAR(B57),1,1))/(DATE(YEAR(B57)+1,1,1)-DATE(YEAR(B57),1,1))+YEAR(B57)-YEAR(B56)-1)</f>
        <v/>
      </c>
      <c r="F57" s="8">
        <f>K56</f>
        <v/>
      </c>
      <c r="G57" s="7">
        <f>$B$10</f>
        <v/>
      </c>
      <c r="H57" s="8">
        <f>F57*G57*E57</f>
        <v/>
      </c>
      <c r="I57" s="8">
        <f>SUM(H57:H57)</f>
        <v/>
      </c>
      <c r="J57" s="8">
        <f>$B$7/$B$13</f>
        <v/>
      </c>
      <c r="K57" s="8">
        <f>F57-J57</f>
        <v/>
      </c>
    </row>
    <row r="58">
      <c r="A58" t="n">
        <v>62</v>
      </c>
      <c r="B58" s="10">
        <f>MIN(DATE(YEAR($E$3),MONTH($E$3)+A58*$E$4,MIN($E$5,DAY(EOMONTH(DATE(YEAR($E$3),MONTH($E$3)+A58*$E$4,1),0)))),$B$6)</f>
        <v/>
      </c>
      <c r="C58" t="inlineStr">
        <is>
          <t>проценты, тело</t>
        </is>
      </c>
      <c r="D58">
        <f>B58-B57</f>
        <v/>
      </c>
      <c r="E58" s="11">
        <f>IF(YEAR(B57)=YEAR(B58),(B58-B57)/(DATE(YEAR(B57)+1,1,1)-DATE(YEAR(B57),1,1)),(DATE(YEAR(B57)+1,1,1)-B57)/(DATE(YEAR(B57)+1,1,1)-DATE(YEAR(B57),1,1))+(B58-DATE(YEAR(B58),1,1))/(DATE(YEAR(B58)+1,1,1)-DATE(YEAR(B58),1,1))+YEAR(B58)-YEAR(B57)-1)</f>
        <v/>
      </c>
      <c r="F58" s="8">
        <f>K57</f>
        <v/>
      </c>
      <c r="G58" s="7">
        <f>$B$10</f>
        <v/>
      </c>
      <c r="H58" s="8">
        <f>F58*G58*E58</f>
        <v/>
      </c>
      <c r="I58" s="8">
        <f>SUM(H58:H58)</f>
        <v/>
      </c>
      <c r="J58" s="8">
        <f>$B$7/$B$13</f>
        <v/>
      </c>
      <c r="K58" s="8">
        <f>F58-J58</f>
        <v/>
      </c>
    </row>
    <row r="59">
      <c r="A59" t="n">
        <v>63</v>
      </c>
      <c r="B59" s="10">
        <f>MIN(DATE(YEAR($E$3),MONTH($E$3)+A59*$E$4,MIN($E$5,DAY(EOMONTH(DATE(YEAR($E$3),MONTH($E$3)+A59*$E$4,1),0)))),$B$6)</f>
        <v/>
      </c>
      <c r="C59" t="inlineStr">
        <is>
          <t>проценты, тело</t>
        </is>
      </c>
      <c r="D59">
        <f>B59-B58</f>
        <v/>
      </c>
      <c r="E59" s="11">
        <f>IF(YEAR(B58)=YEAR(B59),(B59-B58)/(DATE(YEAR(B58)+1,1,1)-DATE(YEAR(B58),1,1)),(DATE(YEAR(B58)+1,1,1)-B58)/(DATE(YEAR(B58)+1,1,1)-DATE(YEAR(B58),1,1))+(B59-DATE(YEAR(B59),1,1))/(DATE(YEAR(B59)+1,1,1)-DATE(YEAR(B59),1,1))+YEAR(B59)-YEAR(B58)-1)</f>
        <v/>
      </c>
      <c r="F59" s="8">
        <f>K58</f>
        <v/>
      </c>
      <c r="G59" s="7">
        <f>$B$10</f>
        <v/>
      </c>
      <c r="H59" s="8">
        <f>F59*G59*E59</f>
        <v/>
      </c>
      <c r="I59" s="8">
        <f>SUM(H59:H59)</f>
        <v/>
      </c>
      <c r="J59" s="8">
        <f>$B$7/$B$13</f>
        <v/>
      </c>
      <c r="K59" s="8">
        <f>F59-J59</f>
        <v/>
      </c>
    </row>
    <row r="60">
      <c r="A60" t="n">
        <v>64</v>
      </c>
      <c r="B60" s="10">
        <f>MIN(DATE(YEAR($E$3),MONTH($E$3)+A60*$E$4,MIN($E$5,DAY(EOMONTH(DATE(YEAR($E$3),MONTH($E$3)+A60*$E$4,1),0)))),$B$6)</f>
        <v/>
      </c>
      <c r="C60" t="inlineStr">
        <is>
          <t>проценты, тело</t>
        </is>
      </c>
      <c r="D60">
        <f>B60-B59</f>
        <v/>
      </c>
      <c r="E60" s="11">
        <f>IF(YEAR(B59)=YEAR(B60),(B60-B59)/(DATE(YEAR(B59)+1,1,1)-DATE(YEAR(B59),1,1)),(DATE(YEAR(B59)+1,1,1)-B59)/(DATE(YEAR(B59)+1,1,1)-DATE(YEAR(B59),1,1))+(B60-DATE(YEAR(B60),1,1))/(DATE(YEAR(B60)+1,1,1)-DATE(YEAR(B60),1,1))+YEAR(B60)-YEAR(B59)-1)</f>
        <v/>
      </c>
      <c r="F60" s="8">
        <f>K59</f>
        <v/>
      </c>
      <c r="G60" s="7">
        <f>$B$10</f>
        <v/>
      </c>
      <c r="H60" s="8">
        <f>F60*G60*E60</f>
        <v/>
      </c>
      <c r="I60" s="8">
        <f>SUM(H60:H60)</f>
        <v/>
      </c>
      <c r="J60" s="8">
        <f>$B$7/$B$13</f>
        <v/>
      </c>
      <c r="K60" s="8">
        <f>F60-J60</f>
        <v/>
      </c>
    </row>
    <row r="61">
      <c r="A61" t="n">
        <v>65</v>
      </c>
      <c r="B61" s="10">
        <f>MIN(DATE(YEAR($E$3),MONTH($E$3)+A61*$E$4,MIN($E$5,DAY(EOMONTH(DATE(YEAR($E$3),MONTH($E$3)+A61*$E$4,1),0)))),$B$6)</f>
        <v/>
      </c>
      <c r="C61" t="inlineStr">
        <is>
          <t>проценты, тело</t>
        </is>
      </c>
      <c r="D61">
        <f>B61-B60</f>
        <v/>
      </c>
      <c r="E61" s="11">
        <f>IF(YEAR(B60)=YEAR(B61),(B61-B60)/(DATE(YEAR(B60)+1,1,1)-DATE(YEAR(B60),1,1)),(DATE(YEAR(B60)+1,1,1)-B60)/(DATE(YEAR(B60)+1,1,1)-DATE(YEAR(B60),1,1))+(B61-DATE(YEAR(B61),1,1))/(DATE(YEAR(B61)+1,1,1)-DATE(YEAR(B61),1,1))+YEAR(B61)-YEAR(B60)-1)</f>
        <v/>
      </c>
      <c r="F61" s="8">
        <f>K60</f>
        <v/>
      </c>
      <c r="G61" s="7">
        <f>$B$10</f>
        <v/>
      </c>
      <c r="H61" s="8">
        <f>F61*G61*E61</f>
        <v/>
      </c>
      <c r="I61" s="8">
        <f>SUM(H61:H61)</f>
        <v/>
      </c>
      <c r="J61" s="8">
        <f>$B$7/$B$13</f>
        <v/>
      </c>
      <c r="K61" s="8">
        <f>F61-J61</f>
        <v/>
      </c>
    </row>
    <row r="62">
      <c r="A62" t="n">
        <v>66</v>
      </c>
      <c r="B62" s="10">
        <f>MIN(DATE(YEAR($E$3),MONTH($E$3)+A62*$E$4,MIN($E$5,DAY(EOMONTH(DATE(YEAR($E$3),MONTH($E$3)+A62*$E$4,1),0)))),$B$6)</f>
        <v/>
      </c>
      <c r="C62" t="inlineStr">
        <is>
          <t>проценты, тело</t>
        </is>
      </c>
      <c r="D62">
        <f>B62-B61</f>
        <v/>
      </c>
      <c r="E62" s="11">
        <f>IF(YEAR(B61)=YEAR(B62),(B62-B61)/(DATE(YEAR(B61)+1,1,1)-DATE(YEAR(B61),1,1)),(DATE(YEAR(B61)+1,1,1)-B61)/(DATE(YEAR(B61)+1,1,1)-DATE(YEAR(B61),1,1))+(B62-DATE(YEAR(B62),1,1))/(DATE(YEAR(B62)+1,1,1)-DATE(YEAR(B62),1,1))+YEAR(B62)-YEAR(B61)-1)</f>
        <v/>
      </c>
      <c r="F62" s="8">
        <f>K61</f>
        <v/>
      </c>
      <c r="G62" s="7">
        <f>$B$10</f>
        <v/>
      </c>
      <c r="H62" s="8">
        <f>F62*G62*E62</f>
        <v/>
      </c>
      <c r="I62" s="8">
        <f>SUM(H62:H62)</f>
        <v/>
      </c>
      <c r="J62" s="8">
        <f>$B$7/$B$13</f>
        <v/>
      </c>
      <c r="K62" s="8">
        <f>F62-J62</f>
        <v/>
      </c>
    </row>
    <row r="63">
      <c r="A63" t="n">
        <v>67</v>
      </c>
      <c r="B63" s="10">
        <f>MIN(DATE(YEAR($E$3),MONTH($E$3)+A63*$E$4,MIN($E$5,DAY(EOMONTH(DATE(YEAR($E$3),MONTH($E$3)+A63*$E$4,1),0)))),$B$6)</f>
        <v/>
      </c>
      <c r="C63" t="inlineStr">
        <is>
          <t>проценты, тело</t>
        </is>
      </c>
      <c r="D63">
        <f>B63-B62</f>
        <v/>
      </c>
      <c r="E63" s="11">
        <f>IF(YEAR(B62)=YEAR(B63),(B63-B62)/(DATE(YEAR(B62)+1,1,1)-DATE(YEAR(B62),1,1)),(DATE(YEAR(B62)+1,1,1)-B62)/(DATE(YEAR(B62)+1,1,1)-DATE(YEAR(B62),1,1))+(B63-DATE(YEAR(B63),1,1))/(DATE(YEAR(B63)+1,1,1)-DATE(YEAR(B63),1,1))+YEAR(B63)-YEAR(B62)-1)</f>
        <v/>
      </c>
      <c r="F63" s="8">
        <f>K62</f>
        <v/>
      </c>
      <c r="G63" s="7">
        <f>$B$10</f>
        <v/>
      </c>
      <c r="H63" s="8">
        <f>F63*G63*E63</f>
        <v/>
      </c>
      <c r="I63" s="8">
        <f>SUM(H63:H63)</f>
        <v/>
      </c>
      <c r="J63" s="8">
        <f>$B$7/$B$13</f>
        <v/>
      </c>
      <c r="K63" s="8">
        <f>F63-J63</f>
        <v/>
      </c>
    </row>
    <row r="64">
      <c r="A64" t="n">
        <v>68</v>
      </c>
      <c r="B64" s="10">
        <f>MIN(DATE(YEAR($E$3),MONTH($E$3)+A64*$E$4,MIN($E$5,DAY(EOMONTH(DATE(YEAR($E$3),MONTH($E$3)+A64*$E$4,1),0)))),$B$6)</f>
        <v/>
      </c>
      <c r="C64" t="inlineStr">
        <is>
          <t>проценты, тело</t>
        </is>
      </c>
      <c r="D64">
        <f>B64-B63</f>
        <v/>
      </c>
      <c r="E64" s="11">
        <f>IF(YEAR(B63)=YEAR(B64),(B64-B63)/(DATE(YEAR(B63)+1,1,1)-DATE(YEAR(B63),1,1)),(DATE(YEAR(B63)+1,1,1)-B63)/(DATE(YEAR(B63)+1,1,1)-DATE(YEAR(B63),1,1))+(B64-DATE(YEAR(B64),1,1))/(DATE(YEAR(B64)+1,1,1)-DATE(YEAR(B64),1,1))+YEAR(B64)-YEAR(B63)-1)</f>
        <v/>
      </c>
      <c r="F64" s="8">
        <f>K63</f>
        <v/>
      </c>
      <c r="G64" s="7">
        <f>$B$10</f>
        <v/>
      </c>
      <c r="H64" s="8">
        <f>F64*G64*E64</f>
        <v/>
      </c>
      <c r="I64" s="8">
        <f>SUM(H64:H64)</f>
        <v/>
      </c>
      <c r="J64" s="8">
        <f>$B$7/$B$13</f>
        <v/>
      </c>
      <c r="K64" s="8">
        <f>F64-J64</f>
        <v/>
      </c>
    </row>
    <row r="65">
      <c r="A65" t="n">
        <v>69</v>
      </c>
      <c r="B65" s="10">
        <f>MIN(DATE(YEAR($E$3),MONTH($E$3)+A65*$E$4,MIN($E$5,DAY(EOMONTH(DATE(YEAR($E$3),MONTH($E$3)+A65*$E$4,1),0)))),$B$6)</f>
        <v/>
      </c>
      <c r="C65" t="inlineStr">
        <is>
          <t>проценты, тело</t>
        </is>
      </c>
      <c r="D65">
        <f>B65-B64</f>
        <v/>
      </c>
      <c r="E65" s="11">
        <f>IF(YEAR(B64)=YEAR(B65),(B65-B64)/(DATE(YEAR(B64)+1,1,1)-DATE(YEAR(B64),1,1)),(DATE(YEAR(B64)+1,1,1)-B64)/(DATE(YEAR(B64)+1,1,1)-DATE(YEAR(B64),1,1))+(B65-DATE(YEAR(B65),1,1))/(DATE(YEAR(B65)+1,1,1)-DATE(YEAR(B65),1,1))+YEAR(B65)-YEAR(B64)-1)</f>
        <v/>
      </c>
      <c r="F65" s="8">
        <f>K64</f>
        <v/>
      </c>
      <c r="G65" s="7">
        <f>$B$10</f>
        <v/>
      </c>
      <c r="H65" s="8">
        <f>F65*G65*E65</f>
        <v/>
      </c>
      <c r="I65" s="8">
        <f>SUM(H65:H65)</f>
        <v/>
      </c>
      <c r="J65" s="8">
        <f>$B$7/$B$13</f>
        <v/>
      </c>
      <c r="K65" s="8">
        <f>F65-J65</f>
        <v/>
      </c>
    </row>
    <row r="66">
      <c r="A66" t="n">
        <v>70</v>
      </c>
      <c r="B66" s="10">
        <f>MIN(DATE(YEAR($E$3),MONTH($E$3)+A66*$E$4,MIN($E$5,DAY(EOMONTH(DATE(YEAR($E$3),MONTH($E$3)+A66*$E$4,1),0)))),$B$6)</f>
        <v/>
      </c>
      <c r="C66" t="inlineStr">
        <is>
          <t>проценты, тело</t>
        </is>
      </c>
      <c r="D66">
        <f>B66-B65</f>
        <v/>
      </c>
      <c r="E66" s="11">
        <f>IF(YEAR(B65)=YEAR(B66),(B66-B65)/(DATE(YEAR(B65)+1,1,1)-DATE(YEAR(B65),1,1)),(DATE(YEAR(B65)+1,1,1)-B65)/(DATE(YEAR(B65)+1,1,1)-DATE(YEAR(B65),1,1))+(B66-DATE(YEAR(B66),1,1))/(DATE(YEAR(B66)+1,1,1)-DATE(YEAR(B66),1,1))+YEAR(B66)-YEAR(B65)-1)</f>
        <v/>
      </c>
      <c r="F66" s="8">
        <f>K65</f>
        <v/>
      </c>
      <c r="G66" s="7">
        <f>$B$10</f>
        <v/>
      </c>
      <c r="H66" s="8">
        <f>F66*G66*E66</f>
        <v/>
      </c>
      <c r="I66" s="8">
        <f>SUM(H66:H66)</f>
        <v/>
      </c>
      <c r="J66" s="8">
        <f>$B$7/$B$13</f>
        <v/>
      </c>
      <c r="K66" s="8">
        <f>F66-J66</f>
        <v/>
      </c>
    </row>
    <row r="67">
      <c r="A67" t="n">
        <v>71</v>
      </c>
      <c r="B67" s="10">
        <f>MIN(DATE(YEAR($E$3),MONTH($E$3)+A67*$E$4,MIN($E$5,DAY(EOMONTH(DATE(YEAR($E$3),MONTH($E$3)+A67*$E$4,1),0)))),$B$6)</f>
        <v/>
      </c>
      <c r="C67" t="inlineStr">
        <is>
          <t>проценты, тело</t>
        </is>
      </c>
      <c r="D67">
        <f>B67-B66</f>
        <v/>
      </c>
      <c r="E67" s="11">
        <f>IF(YEAR(B66)=YEAR(B67),(B67-B66)/(DATE(YEAR(B66)+1,1,1)-DATE(YEAR(B66),1,1)),(DATE(YEAR(B66)+1,1,1)-B66)/(DATE(YEAR(B66)+1,1,1)-DATE(YEAR(B66),1,1))+(B67-DATE(YEAR(B67),1,1))/(DATE(YEAR(B67)+1,1,1)-DATE(YEAR(B67),1,1))+YEAR(B67)-YEAR(B66)-1)</f>
        <v/>
      </c>
      <c r="F67" s="8">
        <f>K66</f>
        <v/>
      </c>
      <c r="G67" s="7">
        <f>$B$10</f>
        <v/>
      </c>
      <c r="H67" s="8">
        <f>F67*G67*E67</f>
        <v/>
      </c>
      <c r="I67" s="8">
        <f>SUM(H67:H67)</f>
        <v/>
      </c>
      <c r="J67" s="8">
        <f>$B$7/$B$13</f>
        <v/>
      </c>
      <c r="K67" s="8">
        <f>F67-J67</f>
        <v/>
      </c>
    </row>
    <row r="68">
      <c r="A68" t="n">
        <v>72</v>
      </c>
      <c r="B68" s="10">
        <f>MIN(DATE(YEAR($E$3),MONTH($E$3)+A68*$E$4,MIN($E$5,DAY(EOMONTH(DATE(YEAR($E$3),MONTH($E$3)+A68*$E$4,1),0)))),$B$6)</f>
        <v/>
      </c>
      <c r="C68" t="inlineStr">
        <is>
          <t>проценты, тело</t>
        </is>
      </c>
      <c r="D68">
        <f>B68-B67</f>
        <v/>
      </c>
      <c r="E68" s="11">
        <f>IF(YEAR(B67)=YEAR(B68),(B68-B67)/(DATE(YEAR(B67)+1,1,1)-DATE(YEAR(B67),1,1)),(DATE(YEAR(B67)+1,1,1)-B67)/(DATE(YEAR(B67)+1,1,1)-DATE(YEAR(B67),1,1))+(B68-DATE(YEAR(B68),1,1))/(DATE(YEAR(B68)+1,1,1)-DATE(YEAR(B68),1,1))+YEAR(B68)-YEAR(B67)-1)</f>
        <v/>
      </c>
      <c r="F68" s="8">
        <f>K67</f>
        <v/>
      </c>
      <c r="G68" s="7">
        <f>$B$10</f>
        <v/>
      </c>
      <c r="H68" s="8">
        <f>F68*G68*E68</f>
        <v/>
      </c>
      <c r="I68" s="8">
        <f>SUM(H68:H68)</f>
        <v/>
      </c>
      <c r="J68" s="8">
        <f>$B$7/$B$13</f>
        <v/>
      </c>
      <c r="K68" s="8">
        <f>F68-J68</f>
        <v/>
      </c>
    </row>
    <row r="69">
      <c r="A69" t="n">
        <v>73</v>
      </c>
      <c r="B69" s="10">
        <f>MIN(DATE(YEAR($E$3),MONTH($E$3)+A69*$E$4,MIN($E$5,DAY(EOMONTH(DATE(YEAR($E$3),MONTH($E$3)+A69*$E$4,1),0)))),$B$6)</f>
        <v/>
      </c>
      <c r="C69" t="inlineStr">
        <is>
          <t>проценты, тело</t>
        </is>
      </c>
      <c r="D69">
        <f>B69-B68</f>
        <v/>
      </c>
      <c r="E69" s="11">
        <f>IF(YEAR(B68)=YEAR(B69),(B69-B68)/(DATE(YEAR(B68)+1,1,1)-DATE(YEAR(B68),1,1)),(DATE(YEAR(B68)+1,1,1)-B68)/(DATE(YEAR(B68)+1,1,1)-DATE(YEAR(B68),1,1))+(B69-DATE(YEAR(B69),1,1))/(DATE(YEAR(B69)+1,1,1)-DATE(YEAR(B69),1,1))+YEAR(B69)-YEAR(B68)-1)</f>
        <v/>
      </c>
      <c r="F69" s="8">
        <f>K68</f>
        <v/>
      </c>
      <c r="G69" s="7">
        <f>$B$10</f>
        <v/>
      </c>
      <c r="H69" s="8">
        <f>F69*G69*E69</f>
        <v/>
      </c>
      <c r="I69" s="8">
        <f>SUM(H69:H69)</f>
        <v/>
      </c>
      <c r="J69" s="8">
        <f>$B$7/$B$13</f>
        <v/>
      </c>
      <c r="K69" s="8">
        <f>F69-J69</f>
        <v/>
      </c>
    </row>
    <row r="70">
      <c r="A70" t="n">
        <v>74</v>
      </c>
      <c r="B70" s="10">
        <f>MIN(DATE(YEAR($E$3),MONTH($E$3)+A70*$E$4,MIN($E$5,DAY(EOMONTH(DATE(YEAR($E$3),MONTH($E$3)+A70*$E$4,1),0)))),$B$6)</f>
        <v/>
      </c>
      <c r="C70" t="inlineStr">
        <is>
          <t>проценты, тело</t>
        </is>
      </c>
      <c r="D70">
        <f>B70-B69</f>
        <v/>
      </c>
      <c r="E70" s="11">
        <f>IF(YEAR(B69)=YEAR(B70),(B70-B69)/(DATE(YEAR(B69)+1,1,1)-DATE(YEAR(B69),1,1)),(DATE(YEAR(B69)+1,1,1)-B69)/(DATE(YEAR(B69)+1,1,1)-DATE(YEAR(B69),1,1))+(B70-DATE(YEAR(B70),1,1))/(DATE(YEAR(B70)+1,1,1)-DATE(YEAR(B70),1,1))+YEAR(B70)-YEAR(B69)-1)</f>
        <v/>
      </c>
      <c r="F70" s="8">
        <f>K69</f>
        <v/>
      </c>
      <c r="G70" s="7">
        <f>$B$10</f>
        <v/>
      </c>
      <c r="H70" s="8">
        <f>F70*G70*E70</f>
        <v/>
      </c>
      <c r="I70" s="8">
        <f>SUM(H70:H70)</f>
        <v/>
      </c>
      <c r="J70" s="8">
        <f>$B$7/$B$13</f>
        <v/>
      </c>
      <c r="K70" s="8">
        <f>F70-J70</f>
        <v/>
      </c>
    </row>
    <row r="71">
      <c r="A71" t="n">
        <v>75</v>
      </c>
      <c r="B71" s="10">
        <f>MIN(DATE(YEAR($E$3),MONTH($E$3)+A71*$E$4,MIN($E$5,DAY(EOMONTH(DATE(YEAR($E$3),MONTH($E$3)+A71*$E$4,1),0)))),$B$6)</f>
        <v/>
      </c>
      <c r="C71" t="inlineStr">
        <is>
          <t>проценты, тело</t>
        </is>
      </c>
      <c r="D71">
        <f>B71-B70</f>
        <v/>
      </c>
      <c r="E71" s="11">
        <f>IF(YEAR(B70)=YEAR(B71),(B71-B70)/(DATE(YEAR(B70)+1,1,1)-DATE(YEAR(B70),1,1)),(DATE(YEAR(B70)+1,1,1)-B70)/(DATE(YEAR(B70)+1,1,1)-DATE(YEAR(B70),1,1))+(B71-DATE(YEAR(B71),1,1))/(DATE(YEAR(B71)+1,1,1)-DATE(YEAR(B71),1,1))+YEAR(B71)-YEAR(B70)-1)</f>
        <v/>
      </c>
      <c r="F71" s="8">
        <f>K70</f>
        <v/>
      </c>
      <c r="G71" s="7">
        <f>$B$10</f>
        <v/>
      </c>
      <c r="H71" s="8">
        <f>F71*G71*E71</f>
        <v/>
      </c>
      <c r="I71" s="8">
        <f>SUM(H71:H71)</f>
        <v/>
      </c>
      <c r="J71" s="8">
        <f>$B$7/$B$13</f>
        <v/>
      </c>
      <c r="K71" s="8">
        <f>F71-J71</f>
        <v/>
      </c>
    </row>
    <row r="72">
      <c r="A72" t="n">
        <v>76</v>
      </c>
      <c r="B72" s="10">
        <f>MIN(DATE(YEAR($E$3),MONTH($E$3)+A72*$E$4,MIN($E$5,DAY(EOMONTH(DATE(YEAR($E$3),MONTH($E$3)+A72*$E$4,1),0)))),$B$6)</f>
        <v/>
      </c>
      <c r="C72" t="inlineStr">
        <is>
          <t>проценты, тело</t>
        </is>
      </c>
      <c r="D72">
        <f>B72-B71</f>
        <v/>
      </c>
      <c r="E72" s="11">
        <f>IF(YEAR(B71)=YEAR(B72),(B72-B71)/(DATE(YEAR(B71)+1,1,1)-DATE(YEAR(B71),1,1)),(DATE(YEAR(B71)+1,1,1)-B71)/(DATE(YEAR(B71)+1,1,1)-DATE(YEAR(B71),1,1))+(B72-DATE(YEAR(B72),1,1))/(DATE(YEAR(B72)+1,1,1)-DATE(YEAR(B72),1,1))+YEAR(B72)-YEAR(B71)-1)</f>
        <v/>
      </c>
      <c r="F72" s="8">
        <f>K71</f>
        <v/>
      </c>
      <c r="G72" s="7">
        <f>$B$10</f>
        <v/>
      </c>
      <c r="H72" s="8">
        <f>F72*G72*E72</f>
        <v/>
      </c>
      <c r="I72" s="8">
        <f>SUM(H72:H72)</f>
        <v/>
      </c>
      <c r="J72" s="8">
        <f>$B$7/$B$13</f>
        <v/>
      </c>
      <c r="K72" s="8">
        <f>F72-J72</f>
        <v/>
      </c>
    </row>
    <row r="73">
      <c r="A73" t="n">
        <v>77</v>
      </c>
      <c r="B73" s="10">
        <f>MIN(DATE(YEAR($E$3),MONTH($E$3)+A73*$E$4,MIN($E$5,DAY(EOMONTH(DATE(YEAR($E$3),MONTH($E$3)+A73*$E$4,1),0)))),$B$6)</f>
        <v/>
      </c>
      <c r="C73" t="inlineStr">
        <is>
          <t>проценты, тело</t>
        </is>
      </c>
      <c r="D73">
        <f>B73-B72</f>
        <v/>
      </c>
      <c r="E73" s="11">
        <f>IF(YEAR(B72)=YEAR(B73),(B73-B72)/(DATE(YEAR(B72)+1,1,1)-DATE(YEAR(B72),1,1)),(DATE(YEAR(B72)+1,1,1)-B72)/(DATE(YEAR(B72)+1,1,1)-DATE(YEAR(B72),1,1))+(B73-DATE(YEAR(B73),1,1))/(DATE(YEAR(B73)+1,1,1)-DATE(YEAR(B73),1,1))+YEAR(B73)-YEAR(B72)-1)</f>
        <v/>
      </c>
      <c r="F73" s="8">
        <f>K72</f>
        <v/>
      </c>
      <c r="G73" s="7">
        <f>$B$10</f>
        <v/>
      </c>
      <c r="H73" s="8">
        <f>F73*G73*E73</f>
        <v/>
      </c>
      <c r="I73" s="8">
        <f>SUM(H73:H73)</f>
        <v/>
      </c>
      <c r="J73" s="8">
        <f>$B$7/$B$13</f>
        <v/>
      </c>
      <c r="K73" s="8">
        <f>F73-J73</f>
        <v/>
      </c>
    </row>
    <row r="74">
      <c r="A74" t="n">
        <v>78</v>
      </c>
      <c r="B74" s="10">
        <f>MIN(DATE(YEAR($E$3),MONTH($E$3)+A74*$E$4,MIN($E$5,DAY(EOMONTH(DATE(YEAR($E$3),MONTH($E$3)+A74*$E$4,1),0)))),$B$6)</f>
        <v/>
      </c>
      <c r="C74" t="inlineStr">
        <is>
          <t>проценты, тело</t>
        </is>
      </c>
      <c r="D74">
        <f>B74-B73</f>
        <v/>
      </c>
      <c r="E74" s="11">
        <f>IF(YEAR(B73)=YEAR(B74),(B74-B73)/(DATE(YEAR(B73)+1,1,1)-DATE(YEAR(B73),1,1)),(DATE(YEAR(B73)+1,1,1)-B73)/(DATE(YEAR(B73)+1,1,1)-DATE(YEAR(B73),1,1))+(B74-DATE(YEAR(B74),1,1))/(DATE(YEAR(B74)+1,1,1)-DATE(YEAR(B74),1,1))+YEAR(B74)-YEAR(B73)-1)</f>
        <v/>
      </c>
      <c r="F74" s="8">
        <f>K73</f>
        <v/>
      </c>
      <c r="G74" s="7">
        <f>$B$10</f>
        <v/>
      </c>
      <c r="H74" s="8">
        <f>F74*G74*E74</f>
        <v/>
      </c>
      <c r="I74" s="8">
        <f>SUM(H74:H74)</f>
        <v/>
      </c>
      <c r="J74" s="8">
        <f>$B$7/$B$13</f>
        <v/>
      </c>
      <c r="K74" s="8">
        <f>F74-J74</f>
        <v/>
      </c>
    </row>
    <row r="75">
      <c r="A75" t="n">
        <v>79</v>
      </c>
      <c r="B75" s="10">
        <f>MIN(DATE(YEAR($E$3),MONTH($E$3)+A75*$E$4,MIN($E$5,DAY(EOMONTH(DATE(YEAR($E$3),MONTH($E$3)+A75*$E$4,1),0)))),$B$6)</f>
        <v/>
      </c>
      <c r="C75" t="inlineStr">
        <is>
          <t>проценты, тело</t>
        </is>
      </c>
      <c r="D75">
        <f>B75-B74</f>
        <v/>
      </c>
      <c r="E75" s="11">
        <f>IF(YEAR(B74)=YEAR(B75),(B75-B74)/(DATE(YEAR(B74)+1,1,1)-DATE(YEAR(B74),1,1)),(DATE(YEAR(B74)+1,1,1)-B74)/(DATE(YEAR(B74)+1,1,1)-DATE(YEAR(B74),1,1))+(B75-DATE(YEAR(B75),1,1))/(DATE(YEAR(B75)+1,1,1)-DATE(YEAR(B75),1,1))+YEAR(B75)-YEAR(B74)-1)</f>
        <v/>
      </c>
      <c r="F75" s="8">
        <f>K74</f>
        <v/>
      </c>
      <c r="G75" s="7">
        <f>$B$10</f>
        <v/>
      </c>
      <c r="H75" s="8">
        <f>F75*G75*E75</f>
        <v/>
      </c>
      <c r="I75" s="8">
        <f>SUM(H75:H75)</f>
        <v/>
      </c>
      <c r="J75" s="8">
        <f>$B$7/$B$13</f>
        <v/>
      </c>
      <c r="K75" s="8">
        <f>F75-J75</f>
        <v/>
      </c>
    </row>
    <row r="76">
      <c r="A76" t="n">
        <v>80</v>
      </c>
      <c r="B76" s="10">
        <f>MIN(DATE(YEAR($E$3),MONTH($E$3)+A76*$E$4,MIN($E$5,DAY(EOMONTH(DATE(YEAR($E$3),MONTH($E$3)+A76*$E$4,1),0)))),$B$6)</f>
        <v/>
      </c>
      <c r="C76" t="inlineStr">
        <is>
          <t>проценты, тело</t>
        </is>
      </c>
      <c r="D76">
        <f>B76-B75</f>
        <v/>
      </c>
      <c r="E76" s="11">
        <f>IF(YEAR(B75)=YEAR(B76),(B76-B75)/(DATE(YEAR(B75)+1,1,1)-DATE(YEAR(B75),1,1)),(DATE(YEAR(B75)+1,1,1)-B75)/(DATE(YEAR(B75)+1,1,1)-DATE(YEAR(B75),1,1))+(B76-DATE(YEAR(B76),1,1))/(DATE(YEAR(B76)+1,1,1)-DATE(YEAR(B76),1,1))+YEAR(B76)-YEAR(B75)-1)</f>
        <v/>
      </c>
      <c r="F76" s="8">
        <f>K75</f>
        <v/>
      </c>
      <c r="G76" s="7">
        <f>$B$10</f>
        <v/>
      </c>
      <c r="H76" s="8">
        <f>F76*G76*E76</f>
        <v/>
      </c>
      <c r="I76" s="8">
        <f>SUM(H76:H76)</f>
        <v/>
      </c>
      <c r="J76" s="8">
        <f>$B$7/$B$13</f>
        <v/>
      </c>
      <c r="K76" s="8">
        <f>F76-J76</f>
        <v/>
      </c>
    </row>
    <row r="77">
      <c r="A77" t="n">
        <v>81</v>
      </c>
      <c r="B77" s="10">
        <f>MIN(DATE(YEAR($E$3),MONTH($E$3)+A77*$E$4,MIN($E$5,DAY(EOMONTH(DATE(YEAR($E$3),MONTH($E$3)+A77*$E$4,1),0)))),$B$6)</f>
        <v/>
      </c>
      <c r="C77" t="inlineStr">
        <is>
          <t>проценты, тело</t>
        </is>
      </c>
      <c r="D77">
        <f>B77-B76</f>
        <v/>
      </c>
      <c r="E77" s="11">
        <f>IF(YEAR(B76)=YEAR(B77),(B77-B76)/(DATE(YEAR(B76)+1,1,1)-DATE(YEAR(B76),1,1)),(DATE(YEAR(B76)+1,1,1)-B76)/(DATE(YEAR(B76)+1,1,1)-DATE(YEAR(B76),1,1))+(B77-DATE(YEAR(B77),1,1))/(DATE(YEAR(B77)+1,1,1)-DATE(YEAR(B77),1,1))+YEAR(B77)-YEAR(B76)-1)</f>
        <v/>
      </c>
      <c r="F77" s="8">
        <f>K76</f>
        <v/>
      </c>
      <c r="G77" s="7">
        <f>$B$10</f>
        <v/>
      </c>
      <c r="H77" s="8">
        <f>F77*G77*E77</f>
        <v/>
      </c>
      <c r="I77" s="8">
        <f>SUM(H77:H77)</f>
        <v/>
      </c>
      <c r="J77" s="8">
        <f>$B$7/$B$13</f>
        <v/>
      </c>
      <c r="K77" s="8">
        <f>F77-J77</f>
        <v/>
      </c>
    </row>
    <row r="78">
      <c r="A78" t="n">
        <v>82</v>
      </c>
      <c r="B78" s="10">
        <f>MIN(DATE(YEAR($E$3),MONTH($E$3)+A78*$E$4,MIN($E$5,DAY(EOMONTH(DATE(YEAR($E$3),MONTH($E$3)+A78*$E$4,1),0)))),$B$6)</f>
        <v/>
      </c>
      <c r="C78" t="inlineStr">
        <is>
          <t>проценты, тело</t>
        </is>
      </c>
      <c r="D78">
        <f>B78-B77</f>
        <v/>
      </c>
      <c r="E78" s="11">
        <f>IF(YEAR(B77)=YEAR(B78),(B78-B77)/(DATE(YEAR(B77)+1,1,1)-DATE(YEAR(B77),1,1)),(DATE(YEAR(B77)+1,1,1)-B77)/(DATE(YEAR(B77)+1,1,1)-DATE(YEAR(B77),1,1))+(B78-DATE(YEAR(B78),1,1))/(DATE(YEAR(B78)+1,1,1)-DATE(YEAR(B78),1,1))+YEAR(B78)-YEAR(B77)-1)</f>
        <v/>
      </c>
      <c r="F78" s="8">
        <f>K77</f>
        <v/>
      </c>
      <c r="G78" s="7">
        <f>$B$10</f>
        <v/>
      </c>
      <c r="H78" s="8">
        <f>F78*G78*E78</f>
        <v/>
      </c>
      <c r="I78" s="8">
        <f>SUM(H78:H78)</f>
        <v/>
      </c>
      <c r="J78" s="8">
        <f>$B$7/$B$13</f>
        <v/>
      </c>
      <c r="K78" s="8">
        <f>F78-J78</f>
        <v/>
      </c>
    </row>
    <row r="79">
      <c r="A79" t="n">
        <v>83</v>
      </c>
      <c r="B79" s="10">
        <f>MIN(DATE(YEAR($E$3),MONTH($E$3)+A79*$E$4,MIN($E$5,DAY(EOMONTH(DATE(YEAR($E$3),MONTH($E$3)+A79*$E$4,1),0)))),$B$6)</f>
        <v/>
      </c>
      <c r="C79" t="inlineStr">
        <is>
          <t>проценты, тело</t>
        </is>
      </c>
      <c r="D79">
        <f>B79-B78</f>
        <v/>
      </c>
      <c r="E79" s="11">
        <f>IF(YEAR(B78)=YEAR(B79),(B79-B78)/(DATE(YEAR(B78)+1,1,1)-DATE(YEAR(B78),1,1)),(DATE(YEAR(B78)+1,1,1)-B78)/(DATE(YEAR(B78)+1,1,1)-DATE(YEAR(B78),1,1))+(B79-DATE(YEAR(B79),1,1))/(DATE(YEAR(B79)+1,1,1)-DATE(YEAR(B79),1,1))+YEAR(B79)-YEAR(B78)-1)</f>
        <v/>
      </c>
      <c r="F79" s="8">
        <f>K78</f>
        <v/>
      </c>
      <c r="G79" s="7">
        <f>$B$10</f>
        <v/>
      </c>
      <c r="H79" s="8">
        <f>F79*G79*E79</f>
        <v/>
      </c>
      <c r="I79" s="8">
        <f>SUM(H79:H79)</f>
        <v/>
      </c>
      <c r="J79" s="8">
        <f>$B$7/$B$13</f>
        <v/>
      </c>
      <c r="K79" s="8">
        <f>F79-J79</f>
        <v/>
      </c>
    </row>
    <row r="80">
      <c r="A80" t="n">
        <v>84</v>
      </c>
      <c r="B80" s="10">
        <f>MIN(DATE(YEAR($E$3),MONTH($E$3)+A80*$E$4,MIN($E$5,DAY(EOMONTH(DATE(YEAR($E$3),MONTH($E$3)+A80*$E$4,1),0)))),$B$6)</f>
        <v/>
      </c>
      <c r="C80" t="inlineStr">
        <is>
          <t>проценты, тело</t>
        </is>
      </c>
      <c r="D80">
        <f>B80-B79</f>
        <v/>
      </c>
      <c r="E80" s="11">
        <f>IF(YEAR(B79)=YEAR(B80),(B80-B79)/(DATE(YEAR(B79)+1,1,1)-DATE(YEAR(B79),1,1)),(DATE(YEAR(B79)+1,1,1)-B79)/(DATE(YEAR(B79)+1,1,1)-DATE(YEAR(B79),1,1))+(B80-DATE(YEAR(B80),1,1))/(DATE(YEAR(B80)+1,1,1)-DATE(YEAR(B80),1,1))+YEAR(B80)-YEAR(B79)-1)</f>
        <v/>
      </c>
      <c r="F80" s="8">
        <f>K79</f>
        <v/>
      </c>
      <c r="G80" s="7">
        <f>$B$10</f>
        <v/>
      </c>
      <c r="H80" s="8">
        <f>F80*G80*E80</f>
        <v/>
      </c>
      <c r="I80" s="8">
        <f>SUM(H80:H80)</f>
        <v/>
      </c>
      <c r="J80" s="8">
        <f>$B$7/$B$13</f>
        <v/>
      </c>
      <c r="K80" s="8">
        <f>F80-J80</f>
        <v/>
      </c>
    </row>
    <row r="81">
      <c r="A81" t="n">
        <v>85</v>
      </c>
      <c r="B81" s="10">
        <f>MIN(DATE(YEAR($E$3),MONTH($E$3)+A81*$E$4,MIN($E$5,DAY(EOMONTH(DATE(YEAR($E$3),MONTH($E$3)+A81*$E$4,1),0)))),$B$6)</f>
        <v/>
      </c>
      <c r="C81" t="inlineStr">
        <is>
          <t>проценты, тело</t>
        </is>
      </c>
      <c r="D81">
        <f>B81-B80</f>
        <v/>
      </c>
      <c r="E81" s="11">
        <f>IF(YEAR(B80)=YEAR(B81),(B81-B80)/(DATE(YEAR(B80)+1,1,1)-DATE(YEAR(B80),1,1)),(DATE(YEAR(B80)+1,1,1)-B80)/(DATE(YEAR(B80)+1,1,1)-DATE(YEAR(B80),1,1))+(B81-DATE(YEAR(B81),1,1))/(DATE(YEAR(B81)+1,1,1)-DATE(YEAR(B81),1,1))+YEAR(B81)-YEAR(B80)-1)</f>
        <v/>
      </c>
      <c r="F81" s="8">
        <f>K80</f>
        <v/>
      </c>
      <c r="G81" s="7">
        <f>$B$10</f>
        <v/>
      </c>
      <c r="H81" s="8">
        <f>F81*G81*E81</f>
        <v/>
      </c>
      <c r="I81" s="8">
        <f>SUM(H81:H81)</f>
        <v/>
      </c>
      <c r="J81" s="8">
        <f>$B$7/$B$13</f>
        <v/>
      </c>
      <c r="K81" s="8">
        <f>F81-J81</f>
        <v/>
      </c>
    </row>
    <row r="82">
      <c r="A82" t="n">
        <v>86</v>
      </c>
      <c r="B82" s="10">
        <f>MIN(DATE(YEAR($E$3),MONTH($E$3)+A82*$E$4,MIN($E$5,DAY(EOMONTH(DATE(YEAR($E$3),MONTH($E$3)+A82*$E$4,1),0)))),$B$6)</f>
        <v/>
      </c>
      <c r="C82" t="inlineStr">
        <is>
          <t>проценты, тело</t>
        </is>
      </c>
      <c r="D82">
        <f>B82-B81</f>
        <v/>
      </c>
      <c r="E82" s="11">
        <f>IF(YEAR(B81)=YEAR(B82),(B82-B81)/(DATE(YEAR(B81)+1,1,1)-DATE(YEAR(B81),1,1)),(DATE(YEAR(B81)+1,1,1)-B81)/(DATE(YEAR(B81)+1,1,1)-DATE(YEAR(B81),1,1))+(B82-DATE(YEAR(B82),1,1))/(DATE(YEAR(B82)+1,1,1)-DATE(YEAR(B82),1,1))+YEAR(B82)-YEAR(B81)-1)</f>
        <v/>
      </c>
      <c r="F82" s="8">
        <f>K81</f>
        <v/>
      </c>
      <c r="G82" s="7">
        <f>$B$10</f>
        <v/>
      </c>
      <c r="H82" s="8">
        <f>F82*G82*E82</f>
        <v/>
      </c>
      <c r="I82" s="8">
        <f>SUM(H82:H82)</f>
        <v/>
      </c>
      <c r="J82" s="8">
        <f>$B$7/$B$13</f>
        <v/>
      </c>
      <c r="K82" s="8">
        <f>F82-J82</f>
        <v/>
      </c>
    </row>
    <row r="83">
      <c r="A83" t="n">
        <v>87</v>
      </c>
      <c r="B83" s="10">
        <f>MIN(DATE(YEAR($E$3),MONTH($E$3)+A83*$E$4,MIN($E$5,DAY(EOMONTH(DATE(YEAR($E$3),MONTH($E$3)+A83*$E$4,1),0)))),$B$6)</f>
        <v/>
      </c>
      <c r="C83" t="inlineStr">
        <is>
          <t>проценты, тело</t>
        </is>
      </c>
      <c r="D83">
        <f>B83-B82</f>
        <v/>
      </c>
      <c r="E83" s="11">
        <f>IF(YEAR(B82)=YEAR(B83),(B83-B82)/(DATE(YEAR(B82)+1,1,1)-DATE(YEAR(B82),1,1)),(DATE(YEAR(B82)+1,1,1)-B82)/(DATE(YEAR(B82)+1,1,1)-DATE(YEAR(B82),1,1))+(B83-DATE(YEAR(B83),1,1))/(DATE(YEAR(B83)+1,1,1)-DATE(YEAR(B83),1,1))+YEAR(B83)-YEAR(B82)-1)</f>
        <v/>
      </c>
      <c r="F83" s="8">
        <f>K82</f>
        <v/>
      </c>
      <c r="G83" s="7">
        <f>$B$10</f>
        <v/>
      </c>
      <c r="H83" s="8">
        <f>F83*G83*E83</f>
        <v/>
      </c>
      <c r="I83" s="8">
        <f>SUM(H83:H83)</f>
        <v/>
      </c>
      <c r="J83" s="8">
        <f>$B$7/$B$13</f>
        <v/>
      </c>
      <c r="K83" s="8">
        <f>F83-J83</f>
        <v/>
      </c>
    </row>
    <row r="84">
      <c r="A84" t="n">
        <v>88</v>
      </c>
      <c r="B84" s="10">
        <f>MIN(DATE(YEAR($E$3),MONTH($E$3)+A84*$E$4,MIN($E$5,DAY(EOMONTH(DATE(YEAR($E$3),MONTH($E$3)+A84*$E$4,1),0)))),$B$6)</f>
        <v/>
      </c>
      <c r="C84" t="inlineStr">
        <is>
          <t>проценты, тело</t>
        </is>
      </c>
      <c r="D84">
        <f>B84-B83</f>
        <v/>
      </c>
      <c r="E84" s="11">
        <f>IF(YEAR(B83)=YEAR(B84),(B84-B83)/(DATE(YEAR(B83)+1,1,1)-DATE(YEAR(B83),1,1)),(DATE(YEAR(B83)+1,1,1)-B83)/(DATE(YEAR(B83)+1,1,1)-DATE(YEAR(B83),1,1))+(B84-DATE(YEAR(B84),1,1))/(DATE(YEAR(B84)+1,1,1)-DATE(YEAR(B84),1,1))+YEAR(B84)-YEAR(B83)-1)</f>
        <v/>
      </c>
      <c r="F84" s="8">
        <f>K83</f>
        <v/>
      </c>
      <c r="G84" s="7">
        <f>$B$10</f>
        <v/>
      </c>
      <c r="H84" s="8">
        <f>F84*G84*E84</f>
        <v/>
      </c>
      <c r="I84" s="8">
        <f>SUM(H84:H84)</f>
        <v/>
      </c>
      <c r="J84" s="8">
        <f>$B$7/$B$13</f>
        <v/>
      </c>
      <c r="K84" s="8">
        <f>F84-J84</f>
        <v/>
      </c>
    </row>
    <row r="85">
      <c r="A85" t="n">
        <v>89</v>
      </c>
      <c r="B85" s="10">
        <f>MIN(DATE(YEAR($E$3),MONTH($E$3)+A85*$E$4,MIN($E$5,DAY(EOMONTH(DATE(YEAR($E$3),MONTH($E$3)+A85*$E$4,1),0)))),$B$6)</f>
        <v/>
      </c>
      <c r="C85" t="inlineStr">
        <is>
          <t>проценты, тело</t>
        </is>
      </c>
      <c r="D85">
        <f>B85-B84</f>
        <v/>
      </c>
      <c r="E85" s="11">
        <f>IF(YEAR(B84)=YEAR(B85),(B85-B84)/(DATE(YEAR(B84)+1,1,1)-DATE(YEAR(B84),1,1)),(DATE(YEAR(B84)+1,1,1)-B84)/(DATE(YEAR(B84)+1,1,1)-DATE(YEAR(B84),1,1))+(B85-DATE(YEAR(B85),1,1))/(DATE(YEAR(B85)+1,1,1)-DATE(YEAR(B85),1,1))+YEAR(B85)-YEAR(B84)-1)</f>
        <v/>
      </c>
      <c r="F85" s="8">
        <f>K84</f>
        <v/>
      </c>
      <c r="G85" s="7">
        <f>$B$10</f>
        <v/>
      </c>
      <c r="H85" s="8">
        <f>F85*G85*E85</f>
        <v/>
      </c>
      <c r="I85" s="8">
        <f>SUM(H85:H85)</f>
        <v/>
      </c>
      <c r="J85" s="8">
        <f>$B$7/$B$13</f>
        <v/>
      </c>
      <c r="K85" s="8">
        <f>F85-J85</f>
        <v/>
      </c>
    </row>
    <row r="86">
      <c r="A86" t="n">
        <v>90</v>
      </c>
      <c r="B86" s="10">
        <f>MIN(DATE(YEAR($E$3),MONTH($E$3)+A86*$E$4,MIN($E$5,DAY(EOMONTH(DATE(YEAR($E$3),MONTH($E$3)+A86*$E$4,1),0)))),$B$6)</f>
        <v/>
      </c>
      <c r="C86" t="inlineStr">
        <is>
          <t>проценты, тело</t>
        </is>
      </c>
      <c r="D86">
        <f>B86-B85</f>
        <v/>
      </c>
      <c r="E86" s="11">
        <f>IF(YEAR(B85)=YEAR(B86),(B86-B85)/(DATE(YEAR(B85)+1,1,1)-DATE(YEAR(B85),1,1)),(DATE(YEAR(B85)+1,1,1)-B85)/(DATE(YEAR(B85)+1,1,1)-DATE(YEAR(B85),1,1))+(B86-DATE(YEAR(B86),1,1))/(DATE(YEAR(B86)+1,1,1)-DATE(YEAR(B86),1,1))+YEAR(B86)-YEAR(B85)-1)</f>
        <v/>
      </c>
      <c r="F86" s="8">
        <f>K85</f>
        <v/>
      </c>
      <c r="G86" s="7">
        <f>$B$10</f>
        <v/>
      </c>
      <c r="H86" s="8">
        <f>F86*G86*E86</f>
        <v/>
      </c>
      <c r="I86" s="8">
        <f>SUM(H86:H86)</f>
        <v/>
      </c>
      <c r="J86" s="8">
        <f>$B$7/$B$13</f>
        <v/>
      </c>
      <c r="K86" s="8">
        <f>F86-J86</f>
        <v/>
      </c>
    </row>
    <row r="87">
      <c r="A87" t="n">
        <v>91</v>
      </c>
      <c r="B87" s="10">
        <f>MIN(DATE(YEAR($E$3),MONTH($E$3)+A87*$E$4,MIN($E$5,DAY(EOMONTH(DATE(YEAR($E$3),MONTH($E$3)+A87*$E$4,1),0)))),$B$6)</f>
        <v/>
      </c>
      <c r="C87" t="inlineStr">
        <is>
          <t>проценты, тело</t>
        </is>
      </c>
      <c r="D87">
        <f>B87-B86</f>
        <v/>
      </c>
      <c r="E87" s="11">
        <f>IF(YEAR(B86)=YEAR(B87),(B87-B86)/(DATE(YEAR(B86)+1,1,1)-DATE(YEAR(B86),1,1)),(DATE(YEAR(B86)+1,1,1)-B86)/(DATE(YEAR(B86)+1,1,1)-DATE(YEAR(B86),1,1))+(B87-DATE(YEAR(B87),1,1))/(DATE(YEAR(B87)+1,1,1)-DATE(YEAR(B87),1,1))+YEAR(B87)-YEAR(B86)-1)</f>
        <v/>
      </c>
      <c r="F87" s="8">
        <f>K86</f>
        <v/>
      </c>
      <c r="G87" s="7">
        <f>$B$10</f>
        <v/>
      </c>
      <c r="H87" s="8">
        <f>F87*G87*E87</f>
        <v/>
      </c>
      <c r="I87" s="8">
        <f>SUM(H87:H87)</f>
        <v/>
      </c>
      <c r="J87" s="8">
        <f>$B$7/$B$13</f>
        <v/>
      </c>
      <c r="K87" s="8">
        <f>F87-J87</f>
        <v/>
      </c>
    </row>
    <row r="88">
      <c r="A88" t="n">
        <v>92</v>
      </c>
      <c r="B88" s="10">
        <f>MIN(DATE(YEAR($E$3),MONTH($E$3)+A88*$E$4,MIN($E$5,DAY(EOMONTH(DATE(YEAR($E$3),MONTH($E$3)+A88*$E$4,1),0)))),$B$6)</f>
        <v/>
      </c>
      <c r="C88" t="inlineStr">
        <is>
          <t>проценты, тело</t>
        </is>
      </c>
      <c r="D88">
        <f>B88-B87</f>
        <v/>
      </c>
      <c r="E88" s="11">
        <f>IF(YEAR(B87)=YEAR(B88),(B88-B87)/(DATE(YEAR(B87)+1,1,1)-DATE(YEAR(B87),1,1)),(DATE(YEAR(B87)+1,1,1)-B87)/(DATE(YEAR(B87)+1,1,1)-DATE(YEAR(B87),1,1))+(B88-DATE(YEAR(B88),1,1))/(DATE(YEAR(B88)+1,1,1)-DATE(YEAR(B88),1,1))+YEAR(B88)-YEAR(B87)-1)</f>
        <v/>
      </c>
      <c r="F88" s="8">
        <f>K87</f>
        <v/>
      </c>
      <c r="G88" s="7">
        <f>$B$10</f>
        <v/>
      </c>
      <c r="H88" s="8">
        <f>F88*G88*E88</f>
        <v/>
      </c>
      <c r="I88" s="8">
        <f>SUM(H88:H88)</f>
        <v/>
      </c>
      <c r="J88" s="8">
        <f>$B$7/$B$13</f>
        <v/>
      </c>
      <c r="K88" s="8">
        <f>F88-J88</f>
        <v/>
      </c>
    </row>
    <row r="89">
      <c r="A89" t="n">
        <v>93</v>
      </c>
      <c r="B89" s="10">
        <f>MIN(DATE(YEAR($E$3),MONTH($E$3)+A89*$E$4,MIN($E$5,DAY(EOMONTH(DATE(YEAR($E$3),MONTH($E$3)+A89*$E$4,1),0)))),$B$6)</f>
        <v/>
      </c>
      <c r="C89" t="inlineStr">
        <is>
          <t>проценты, тело</t>
        </is>
      </c>
      <c r="D89">
        <f>B89-B88</f>
        <v/>
      </c>
      <c r="E89" s="11">
        <f>IF(YEAR(B88)=YEAR(B89),(B89-B88)/(DATE(YEAR(B88)+1,1,1)-DATE(YEAR(B88),1,1)),(DATE(YEAR(B88)+1,1,1)-B88)/(DATE(YEAR(B88)+1,1,1)-DATE(YEAR(B88),1,1))+(B89-DATE(YEAR(B89),1,1))/(DATE(YEAR(B89)+1,1,1)-DATE(YEAR(B89),1,1))+YEAR(B89)-YEAR(B88)-1)</f>
        <v/>
      </c>
      <c r="F89" s="8">
        <f>K88</f>
        <v/>
      </c>
      <c r="G89" s="7">
        <f>$B$10</f>
        <v/>
      </c>
      <c r="H89" s="8">
        <f>F89*G89*E89</f>
        <v/>
      </c>
      <c r="I89" s="8">
        <f>SUM(H89:H89)</f>
        <v/>
      </c>
      <c r="J89" s="8">
        <f>$B$7/$B$13</f>
        <v/>
      </c>
      <c r="K89" s="8">
        <f>F89-J89</f>
        <v/>
      </c>
    </row>
    <row r="90">
      <c r="A90" t="n">
        <v>94</v>
      </c>
      <c r="B90" s="10">
        <f>MIN(DATE(YEAR($E$3),MONTH($E$3)+A90*$E$4,MIN($E$5,DAY(EOMONTH(DATE(YEAR($E$3),MONTH($E$3)+A90*$E$4,1),0)))),$B$6)</f>
        <v/>
      </c>
      <c r="C90" t="inlineStr">
        <is>
          <t>проценты, тело</t>
        </is>
      </c>
      <c r="D90">
        <f>B90-B89</f>
        <v/>
      </c>
      <c r="E90" s="11">
        <f>IF(YEAR(B89)=YEAR(B90),(B90-B89)/(DATE(YEAR(B89)+1,1,1)-DATE(YEAR(B89),1,1)),(DATE(YEAR(B89)+1,1,1)-B89)/(DATE(YEAR(B89)+1,1,1)-DATE(YEAR(B89),1,1))+(B90-DATE(YEAR(B90),1,1))/(DATE(YEAR(B90)+1,1,1)-DATE(YEAR(B90),1,1))+YEAR(B90)-YEAR(B89)-1)</f>
        <v/>
      </c>
      <c r="F90" s="8">
        <f>K89</f>
        <v/>
      </c>
      <c r="G90" s="7">
        <f>$B$10</f>
        <v/>
      </c>
      <c r="H90" s="8">
        <f>F90*G90*E90</f>
        <v/>
      </c>
      <c r="I90" s="8">
        <f>SUM(H90:H90)</f>
        <v/>
      </c>
      <c r="J90" s="8">
        <f>$B$7/$B$13</f>
        <v/>
      </c>
      <c r="K90" s="8">
        <f>F90-J90</f>
        <v/>
      </c>
    </row>
    <row r="91">
      <c r="A91" t="n">
        <v>95</v>
      </c>
      <c r="B91" s="10">
        <f>MIN(DATE(YEAR($E$3),MONTH($E$3)+A91*$E$4,MIN($E$5,DAY(EOMONTH(DATE(YEAR($E$3),MONTH($E$3)+A91*$E$4,1),0)))),$B$6)</f>
        <v/>
      </c>
      <c r="C91" t="inlineStr">
        <is>
          <t>проценты, тело</t>
        </is>
      </c>
      <c r="D91">
        <f>B91-B90</f>
        <v/>
      </c>
      <c r="E91" s="11">
        <f>IF(YEAR(B90)=YEAR(B91),(B91-B90)/(DATE(YEAR(B90)+1,1,1)-DATE(YEAR(B90),1,1)),(DATE(YEAR(B90)+1,1,1)-B90)/(DATE(YEAR(B90)+1,1,1)-DATE(YEAR(B90),1,1))+(B91-DATE(YEAR(B91),1,1))/(DATE(YEAR(B91)+1,1,1)-DATE(YEAR(B91),1,1))+YEAR(B91)-YEAR(B90)-1)</f>
        <v/>
      </c>
      <c r="F91" s="8">
        <f>K90</f>
        <v/>
      </c>
      <c r="G91" s="7">
        <f>$B$10</f>
        <v/>
      </c>
      <c r="H91" s="8">
        <f>F91*G91*E91</f>
        <v/>
      </c>
      <c r="I91" s="8">
        <f>SUM(H91:H91)</f>
        <v/>
      </c>
      <c r="J91" s="8">
        <f>$B$7/$B$13</f>
        <v/>
      </c>
      <c r="K91" s="8">
        <f>F91-J91</f>
        <v/>
      </c>
    </row>
    <row r="92">
      <c r="A92" t="n">
        <v>96</v>
      </c>
      <c r="B92" s="10">
        <f>MIN(DATE(YEAR($E$3),MONTH($E$3)+A92*$E$4,MIN($E$5,DAY(EOMONTH(DATE(YEAR($E$3),MONTH($E$3)+A92*$E$4,1),0)))),$B$6)</f>
        <v/>
      </c>
      <c r="C92" t="inlineStr">
        <is>
          <t>проценты, тело</t>
        </is>
      </c>
      <c r="D92">
        <f>B92-B91</f>
        <v/>
      </c>
      <c r="E92" s="11">
        <f>IF(YEAR(B91)=YEAR(B92),(B92-B91)/(DATE(YEAR(B91)+1,1,1)-DATE(YEAR(B91),1,1)),(DATE(YEAR(B91)+1,1,1)-B91)/(DATE(YEAR(B91)+1,1,1)-DATE(YEAR(B91),1,1))+(B92-DATE(YEAR(B92),1,1))/(DATE(YEAR(B92)+1,1,1)-DATE(YEAR(B92),1,1))+YEAR(B92)-YEAR(B91)-1)</f>
        <v/>
      </c>
      <c r="F92" s="8">
        <f>K91</f>
        <v/>
      </c>
      <c r="G92" s="7">
        <f>$B$10</f>
        <v/>
      </c>
      <c r="H92" s="8">
        <f>F92*G92*E92</f>
        <v/>
      </c>
      <c r="I92" s="8">
        <f>SUM(H92:H92)</f>
        <v/>
      </c>
      <c r="J92" s="8">
        <f>$B$7/$B$13</f>
        <v/>
      </c>
      <c r="K92" s="8">
        <f>F92-J92</f>
        <v/>
      </c>
    </row>
    <row r="93">
      <c r="A93" t="n">
        <v>97</v>
      </c>
      <c r="B93" s="10">
        <f>MIN(DATE(YEAR($E$3),MONTH($E$3)+A93*$E$4,MIN($E$5,DAY(EOMONTH(DATE(YEAR($E$3),MONTH($E$3)+A93*$E$4,1),0)))),$B$6)</f>
        <v/>
      </c>
      <c r="C93" t="inlineStr">
        <is>
          <t>проценты, тело</t>
        </is>
      </c>
      <c r="D93">
        <f>B93-B92</f>
        <v/>
      </c>
      <c r="E93" s="11">
        <f>IF(YEAR(B92)=YEAR(B93),(B93-B92)/(DATE(YEAR(B92)+1,1,1)-DATE(YEAR(B92),1,1)),(DATE(YEAR(B92)+1,1,1)-B92)/(DATE(YEAR(B92)+1,1,1)-DATE(YEAR(B92),1,1))+(B93-DATE(YEAR(B93),1,1))/(DATE(YEAR(B93)+1,1,1)-DATE(YEAR(B93),1,1))+YEAR(B93)-YEAR(B92)-1)</f>
        <v/>
      </c>
      <c r="F93" s="8">
        <f>K92</f>
        <v/>
      </c>
      <c r="G93" s="7">
        <f>$B$10</f>
        <v/>
      </c>
      <c r="H93" s="8">
        <f>F93*G93*E93</f>
        <v/>
      </c>
      <c r="I93" s="8">
        <f>SUM(H93:H93)</f>
        <v/>
      </c>
      <c r="J93" s="8">
        <f>$B$7/$B$13</f>
        <v/>
      </c>
      <c r="K93" s="8">
        <f>F93-J93</f>
        <v/>
      </c>
    </row>
    <row r="94">
      <c r="A94" t="n">
        <v>98</v>
      </c>
      <c r="B94" s="10">
        <f>MIN(DATE(YEAR($E$3),MONTH($E$3)+A94*$E$4,MIN($E$5,DAY(EOMONTH(DATE(YEAR($E$3),MONTH($E$3)+A94*$E$4,1),0)))),$B$6)</f>
        <v/>
      </c>
      <c r="C94" t="inlineStr">
        <is>
          <t>проценты, тело</t>
        </is>
      </c>
      <c r="D94">
        <f>B94-B93</f>
        <v/>
      </c>
      <c r="E94" s="11">
        <f>IF(YEAR(B93)=YEAR(B94),(B94-B93)/(DATE(YEAR(B93)+1,1,1)-DATE(YEAR(B93),1,1)),(DATE(YEAR(B93)+1,1,1)-B93)/(DATE(YEAR(B93)+1,1,1)-DATE(YEAR(B93),1,1))+(B94-DATE(YEAR(B94),1,1))/(DATE(YEAR(B94)+1,1,1)-DATE(YEAR(B94),1,1))+YEAR(B94)-YEAR(B93)-1)</f>
        <v/>
      </c>
      <c r="F94" s="8">
        <f>K93</f>
        <v/>
      </c>
      <c r="G94" s="7">
        <f>$B$10</f>
        <v/>
      </c>
      <c r="H94" s="8">
        <f>F94*G94*E94</f>
        <v/>
      </c>
      <c r="I94" s="8">
        <f>SUM(H94:H94)</f>
        <v/>
      </c>
      <c r="J94" s="8">
        <f>$B$7/$B$13</f>
        <v/>
      </c>
      <c r="K94" s="8">
        <f>F94-J94</f>
        <v/>
      </c>
    </row>
    <row r="95">
      <c r="A95" t="n">
        <v>99</v>
      </c>
      <c r="B95" s="10">
        <f>MIN(DATE(YEAR($E$3),MONTH($E$3)+A95*$E$4,MIN($E$5,DAY(EOMONTH(DATE(YEAR($E$3),MONTH($E$3)+A95*$E$4,1),0)))),$B$6)</f>
        <v/>
      </c>
      <c r="C95" t="inlineStr">
        <is>
          <t>проценты, тело</t>
        </is>
      </c>
      <c r="D95">
        <f>B95-B94</f>
        <v/>
      </c>
      <c r="E95" s="11">
        <f>IF(YEAR(B94)=YEAR(B95),(B95-B94)/(DATE(YEAR(B94)+1,1,1)-DATE(YEAR(B94),1,1)),(DATE(YEAR(B94)+1,1,1)-B94)/(DATE(YEAR(B94)+1,1,1)-DATE(YEAR(B94),1,1))+(B95-DATE(YEAR(B95),1,1))/(DATE(YEAR(B95)+1,1,1)-DATE(YEAR(B95),1,1))+YEAR(B95)-YEAR(B94)-1)</f>
        <v/>
      </c>
      <c r="F95" s="8">
        <f>K94</f>
        <v/>
      </c>
      <c r="G95" s="7">
        <f>$B$10</f>
        <v/>
      </c>
      <c r="H95" s="8">
        <f>F95*G95*E95</f>
        <v/>
      </c>
      <c r="I95" s="8">
        <f>SUM(H95:H95)</f>
        <v/>
      </c>
      <c r="J95" s="8">
        <f>$B$7/$B$13</f>
        <v/>
      </c>
      <c r="K95" s="8">
        <f>F95-J95</f>
        <v/>
      </c>
    </row>
    <row r="96">
      <c r="A96" t="n">
        <v>100</v>
      </c>
      <c r="B96" s="10">
        <f>MIN(DATE(YEAR($E$3),MONTH($E$3)+A96*$E$4,MIN($E$5,DAY(EOMONTH(DATE(YEAR($E$3),MONTH($E$3)+A96*$E$4,1),0)))),$B$6)</f>
        <v/>
      </c>
      <c r="C96" t="inlineStr">
        <is>
          <t>проценты, тело</t>
        </is>
      </c>
      <c r="D96">
        <f>B96-B95</f>
        <v/>
      </c>
      <c r="E96" s="11">
        <f>IF(YEAR(B95)=YEAR(B96),(B96-B95)/(DATE(YEAR(B95)+1,1,1)-DATE(YEAR(B95),1,1)),(DATE(YEAR(B95)+1,1,1)-B95)/(DATE(YEAR(B95)+1,1,1)-DATE(YEAR(B95),1,1))+(B96-DATE(YEAR(B96),1,1))/(DATE(YEAR(B96)+1,1,1)-DATE(YEAR(B96),1,1))+YEAR(B96)-YEAR(B95)-1)</f>
        <v/>
      </c>
      <c r="F96" s="8">
        <f>K95</f>
        <v/>
      </c>
      <c r="G96" s="7">
        <f>$B$10</f>
        <v/>
      </c>
      <c r="H96" s="8">
        <f>F96*G96*E96</f>
        <v/>
      </c>
      <c r="I96" s="8">
        <f>SUM(H96:H96)</f>
        <v/>
      </c>
      <c r="J96" s="8">
        <f>$B$7/$B$13</f>
        <v/>
      </c>
      <c r="K96" s="8">
        <f>F96-J96</f>
        <v/>
      </c>
    </row>
    <row r="97">
      <c r="A97" t="n">
        <v>101</v>
      </c>
      <c r="B97" s="10">
        <f>MIN(DATE(YEAR($E$3),MONTH($E$3)+A97*$E$4,MIN($E$5,DAY(EOMONTH(DATE(YEAR($E$3),MONTH($E$3)+A97*$E$4,1),0)))),$B$6)</f>
        <v/>
      </c>
      <c r="C97" t="inlineStr">
        <is>
          <t>проценты, тело</t>
        </is>
      </c>
      <c r="D97">
        <f>B97-B96</f>
        <v/>
      </c>
      <c r="E97" s="11">
        <f>IF(YEAR(B96)=YEAR(B97),(B97-B96)/(DATE(YEAR(B96)+1,1,1)-DATE(YEAR(B96),1,1)),(DATE(YEAR(B96)+1,1,1)-B96)/(DATE(YEAR(B96)+1,1,1)-DATE(YEAR(B96),1,1))+(B97-DATE(YEAR(B97),1,1))/(DATE(YEAR(B97)+1,1,1)-DATE(YEAR(B97),1,1))+YEAR(B97)-YEAR(B96)-1)</f>
        <v/>
      </c>
      <c r="F97" s="8">
        <f>K96</f>
        <v/>
      </c>
      <c r="G97" s="7">
        <f>$B$10</f>
        <v/>
      </c>
      <c r="H97" s="8">
        <f>F97*G97*E97</f>
        <v/>
      </c>
      <c r="I97" s="8">
        <f>SUM(H97:H97)</f>
        <v/>
      </c>
      <c r="J97" s="8">
        <f>$B$7/$B$13</f>
        <v/>
      </c>
      <c r="K97" s="8">
        <f>F97-J97</f>
        <v/>
      </c>
    </row>
    <row r="98">
      <c r="A98" t="n">
        <v>102</v>
      </c>
      <c r="B98" s="10">
        <f>MIN(DATE(YEAR($E$3),MONTH($E$3)+A98*$E$4,MIN($E$5,DAY(EOMONTH(DATE(YEAR($E$3),MONTH($E$3)+A98*$E$4,1),0)))),$B$6)</f>
        <v/>
      </c>
      <c r="C98" t="inlineStr">
        <is>
          <t>проценты, тело</t>
        </is>
      </c>
      <c r="D98">
        <f>B98-B97</f>
        <v/>
      </c>
      <c r="E98" s="11">
        <f>IF(YEAR(B97)=YEAR(B98),(B98-B97)/(DATE(YEAR(B97)+1,1,1)-DATE(YEAR(B97),1,1)),(DATE(YEAR(B97)+1,1,1)-B97)/(DATE(YEAR(B97)+1,1,1)-DATE(YEAR(B97),1,1))+(B98-DATE(YEAR(B98),1,1))/(DATE(YEAR(B98)+1,1,1)-DATE(YEAR(B98),1,1))+YEAR(B98)-YEAR(B97)-1)</f>
        <v/>
      </c>
      <c r="F98" s="8">
        <f>K97</f>
        <v/>
      </c>
      <c r="G98" s="7">
        <f>$B$10</f>
        <v/>
      </c>
      <c r="H98" s="8">
        <f>F98*G98*E98</f>
        <v/>
      </c>
      <c r="I98" s="8">
        <f>SUM(H98:H98)</f>
        <v/>
      </c>
      <c r="J98" s="8">
        <f>$B$7/$B$13</f>
        <v/>
      </c>
      <c r="K98" s="8">
        <f>F98-J98</f>
        <v/>
      </c>
    </row>
    <row r="99">
      <c r="A99" t="n">
        <v>103</v>
      </c>
      <c r="B99" s="10">
        <f>MIN(DATE(YEAR($E$3),MONTH($E$3)+A99*$E$4,MIN($E$5,DAY(EOMONTH(DATE(YEAR($E$3),MONTH($E$3)+A99*$E$4,1),0)))),$B$6)</f>
        <v/>
      </c>
      <c r="C99" t="inlineStr">
        <is>
          <t>проценты, тело</t>
        </is>
      </c>
      <c r="D99">
        <f>B99-B98</f>
        <v/>
      </c>
      <c r="E99" s="11">
        <f>IF(YEAR(B98)=YEAR(B99),(B99-B98)/(DATE(YEAR(B98)+1,1,1)-DATE(YEAR(B98),1,1)),(DATE(YEAR(B98)+1,1,1)-B98)/(DATE(YEAR(B98)+1,1,1)-DATE(YEAR(B98),1,1))+(B99-DATE(YEAR(B99),1,1))/(DATE(YEAR(B99)+1,1,1)-DATE(YEAR(B99),1,1))+YEAR(B99)-YEAR(B98)-1)</f>
        <v/>
      </c>
      <c r="F99" s="8">
        <f>K98</f>
        <v/>
      </c>
      <c r="G99" s="7">
        <f>$B$10</f>
        <v/>
      </c>
      <c r="H99" s="8">
        <f>F99*G99*E99</f>
        <v/>
      </c>
      <c r="I99" s="8">
        <f>SUM(H99:H99)</f>
        <v/>
      </c>
      <c r="J99" s="8">
        <f>$B$7/$B$13</f>
        <v/>
      </c>
      <c r="K99" s="8">
        <f>F99-J99</f>
        <v/>
      </c>
    </row>
    <row r="100">
      <c r="A100" t="n">
        <v>104</v>
      </c>
      <c r="B100" s="10">
        <f>MIN(DATE(YEAR($E$3),MONTH($E$3)+A100*$E$4,MIN($E$5,DAY(EOMONTH(DATE(YEAR($E$3),MONTH($E$3)+A100*$E$4,1),0)))),$B$6)</f>
        <v/>
      </c>
      <c r="C100" t="inlineStr">
        <is>
          <t>проценты, тело</t>
        </is>
      </c>
      <c r="D100">
        <f>B100-B99</f>
        <v/>
      </c>
      <c r="E100" s="11">
        <f>IF(YEAR(B99)=YEAR(B100),(B100-B99)/(DATE(YEAR(B99)+1,1,1)-DATE(YEAR(B99),1,1)),(DATE(YEAR(B99)+1,1,1)-B99)/(DATE(YEAR(B99)+1,1,1)-DATE(YEAR(B99),1,1))+(B100-DATE(YEAR(B100),1,1))/(DATE(YEAR(B100)+1,1,1)-DATE(YEAR(B100),1,1))+YEAR(B100)-YEAR(B99)-1)</f>
        <v/>
      </c>
      <c r="F100" s="8">
        <f>K99</f>
        <v/>
      </c>
      <c r="G100" s="7">
        <f>$B$10</f>
        <v/>
      </c>
      <c r="H100" s="8">
        <f>F100*G100*E100</f>
        <v/>
      </c>
      <c r="I100" s="8">
        <f>SUM(H100:H100)</f>
        <v/>
      </c>
      <c r="J100" s="8">
        <f>$B$7/$B$13</f>
        <v/>
      </c>
      <c r="K100" s="8">
        <f>F100-J100</f>
        <v/>
      </c>
    </row>
    <row r="101">
      <c r="A101" t="n">
        <v>105</v>
      </c>
      <c r="B101" s="10">
        <f>MIN(DATE(YEAR($E$3),MONTH($E$3)+A101*$E$4,MIN($E$5,DAY(EOMONTH(DATE(YEAR($E$3),MONTH($E$3)+A101*$E$4,1),0)))),$B$6)</f>
        <v/>
      </c>
      <c r="C101" t="inlineStr">
        <is>
          <t>проценты, тело</t>
        </is>
      </c>
      <c r="D101">
        <f>B101-B100</f>
        <v/>
      </c>
      <c r="E101" s="11">
        <f>IF(YEAR(B100)=YEAR(B101),(B101-B100)/(DATE(YEAR(B100)+1,1,1)-DATE(YEAR(B100),1,1)),(DATE(YEAR(B100)+1,1,1)-B100)/(DATE(YEAR(B100)+1,1,1)-DATE(YEAR(B100),1,1))+(B101-DATE(YEAR(B101),1,1))/(DATE(YEAR(B101)+1,1,1)-DATE(YEAR(B101),1,1))+YEAR(B101)-YEAR(B100)-1)</f>
        <v/>
      </c>
      <c r="F101" s="8">
        <f>K100</f>
        <v/>
      </c>
      <c r="G101" s="7">
        <f>$B$10</f>
        <v/>
      </c>
      <c r="H101" s="8">
        <f>F101*G101*E101</f>
        <v/>
      </c>
      <c r="I101" s="8">
        <f>SUM(H101:H101)</f>
        <v/>
      </c>
      <c r="J101" s="8">
        <f>$B$7/$B$13</f>
        <v/>
      </c>
      <c r="K101" s="8">
        <f>F101-J101</f>
        <v/>
      </c>
    </row>
    <row r="102">
      <c r="A102" t="n">
        <v>106</v>
      </c>
      <c r="B102" s="10">
        <f>MIN(DATE(YEAR($E$3),MONTH($E$3)+A102*$E$4,MIN($E$5,DAY(EOMONTH(DATE(YEAR($E$3),MONTH($E$3)+A102*$E$4,1),0)))),$B$6)</f>
        <v/>
      </c>
      <c r="C102" t="inlineStr">
        <is>
          <t>проценты, тело</t>
        </is>
      </c>
      <c r="D102">
        <f>B102-B101</f>
        <v/>
      </c>
      <c r="E102" s="11">
        <f>IF(YEAR(B101)=YEAR(B102),(B102-B101)/(DATE(YEAR(B101)+1,1,1)-DATE(YEAR(B101),1,1)),(DATE(YEAR(B101)+1,1,1)-B101)/(DATE(YEAR(B101)+1,1,1)-DATE(YEAR(B101),1,1))+(B102-DATE(YEAR(B102),1,1))/(DATE(YEAR(B102)+1,1,1)-DATE(YEAR(B102),1,1))+YEAR(B102)-YEAR(B101)-1)</f>
        <v/>
      </c>
      <c r="F102" s="8">
        <f>K101</f>
        <v/>
      </c>
      <c r="G102" s="7">
        <f>$B$10</f>
        <v/>
      </c>
      <c r="H102" s="8">
        <f>F102*G102*E102</f>
        <v/>
      </c>
      <c r="I102" s="8">
        <f>SUM(H102:H102)</f>
        <v/>
      </c>
      <c r="J102" s="8">
        <f>$B$7/$B$13</f>
        <v/>
      </c>
      <c r="K102" s="8">
        <f>F102-J102</f>
        <v/>
      </c>
    </row>
    <row r="103">
      <c r="A103" t="n">
        <v>107</v>
      </c>
      <c r="B103" s="10">
        <f>MIN(DATE(YEAR($E$3),MONTH($E$3)+A103*$E$4,MIN($E$5,DAY(EOMONTH(DATE(YEAR($E$3),MONTH($E$3)+A103*$E$4,1),0)))),$B$6)</f>
        <v/>
      </c>
      <c r="C103" t="inlineStr">
        <is>
          <t>проценты, тело</t>
        </is>
      </c>
      <c r="D103">
        <f>B103-B102</f>
        <v/>
      </c>
      <c r="E103" s="11">
        <f>IF(YEAR(B102)=YEAR(B103),(B103-B102)/(DATE(YEAR(B102)+1,1,1)-DATE(YEAR(B102),1,1)),(DATE(YEAR(B102)+1,1,1)-B102)/(DATE(YEAR(B102)+1,1,1)-DATE(YEAR(B102),1,1))+(B103-DATE(YEAR(B103),1,1))/(DATE(YEAR(B103)+1,1,1)-DATE(YEAR(B103),1,1))+YEAR(B103)-YEAR(B102)-1)</f>
        <v/>
      </c>
      <c r="F103" s="8">
        <f>K102</f>
        <v/>
      </c>
      <c r="G103" s="7">
        <f>$B$10</f>
        <v/>
      </c>
      <c r="H103" s="8">
        <f>F103*G103*E103</f>
        <v/>
      </c>
      <c r="I103" s="8">
        <f>SUM(H103:H103)</f>
        <v/>
      </c>
      <c r="J103" s="8">
        <f>$B$7/$B$13</f>
        <v/>
      </c>
      <c r="K103" s="8">
        <f>F103-J103</f>
        <v/>
      </c>
    </row>
    <row r="104">
      <c r="A104" t="n">
        <v>108</v>
      </c>
      <c r="B104" s="10">
        <f>MIN(DATE(YEAR($E$3),MONTH($E$3)+A104*$E$4,MIN($E$5,DAY(EOMONTH(DATE(YEAR($E$3),MONTH($E$3)+A104*$E$4,1),0)))),$B$6)</f>
        <v/>
      </c>
      <c r="C104" t="inlineStr">
        <is>
          <t>проценты, тело</t>
        </is>
      </c>
      <c r="D104">
        <f>B104-B103</f>
        <v/>
      </c>
      <c r="E104" s="11">
        <f>IF(YEAR(B103)=YEAR(B104),(B104-B103)/(DATE(YEAR(B103)+1,1,1)-DATE(YEAR(B103),1,1)),(DATE(YEAR(B103)+1,1,1)-B103)/(DATE(YEAR(B103)+1,1,1)-DATE(YEAR(B103),1,1))+(B104-DATE(YEAR(B104),1,1))/(DATE(YEAR(B104)+1,1,1)-DATE(YEAR(B104),1,1))+YEAR(B104)-YEAR(B103)-1)</f>
        <v/>
      </c>
      <c r="F104" s="8">
        <f>K103</f>
        <v/>
      </c>
      <c r="G104" s="7">
        <f>$B$10</f>
        <v/>
      </c>
      <c r="H104" s="8">
        <f>F104*G104*E104</f>
        <v/>
      </c>
      <c r="I104" s="8">
        <f>SUM(H104:H104)</f>
        <v/>
      </c>
      <c r="J104" s="8">
        <f>$B$7/$B$13</f>
        <v/>
      </c>
      <c r="K104" s="8">
        <f>F104-J104</f>
        <v/>
      </c>
    </row>
    <row r="105">
      <c r="A105" t="n">
        <v>109</v>
      </c>
      <c r="B105" s="10">
        <f>MIN(DATE(YEAR($E$3),MONTH($E$3)+A105*$E$4,MIN($E$5,DAY(EOMONTH(DATE(YEAR($E$3),MONTH($E$3)+A105*$E$4,1),0)))),$B$6)</f>
        <v/>
      </c>
      <c r="C105" t="inlineStr">
        <is>
          <t>проценты, тело</t>
        </is>
      </c>
      <c r="D105">
        <f>B105-B104</f>
        <v/>
      </c>
      <c r="E105" s="11">
        <f>IF(YEAR(B104)=YEAR(B105),(B105-B104)/(DATE(YEAR(B104)+1,1,1)-DATE(YEAR(B104),1,1)),(DATE(YEAR(B104)+1,1,1)-B104)/(DATE(YEAR(B104)+1,1,1)-DATE(YEAR(B104),1,1))+(B105-DATE(YEAR(B105),1,1))/(DATE(YEAR(B105)+1,1,1)-DATE(YEAR(B105),1,1))+YEAR(B105)-YEAR(B104)-1)</f>
        <v/>
      </c>
      <c r="F105" s="8">
        <f>K104</f>
        <v/>
      </c>
      <c r="G105" s="7">
        <f>$B$10</f>
        <v/>
      </c>
      <c r="H105" s="8">
        <f>F105*G105*E105</f>
        <v/>
      </c>
      <c r="I105" s="8">
        <f>SUM(H105:H105)</f>
        <v/>
      </c>
      <c r="J105" s="8">
        <f>$B$7/$B$13</f>
        <v/>
      </c>
      <c r="K105" s="8">
        <f>F105-J105</f>
        <v/>
      </c>
    </row>
    <row r="106">
      <c r="A106" t="n">
        <v>110</v>
      </c>
      <c r="B106" s="10">
        <f>MIN(DATE(YEAR($E$3),MONTH($E$3)+A106*$E$4,MIN($E$5,DAY(EOMONTH(DATE(YEAR($E$3),MONTH($E$3)+A106*$E$4,1),0)))),$B$6)</f>
        <v/>
      </c>
      <c r="C106" t="inlineStr">
        <is>
          <t>проценты, тело</t>
        </is>
      </c>
      <c r="D106">
        <f>B106-B105</f>
        <v/>
      </c>
      <c r="E106" s="11">
        <f>IF(YEAR(B105)=YEAR(B106),(B106-B105)/(DATE(YEAR(B105)+1,1,1)-DATE(YEAR(B105),1,1)),(DATE(YEAR(B105)+1,1,1)-B105)/(DATE(YEAR(B105)+1,1,1)-DATE(YEAR(B105),1,1))+(B106-DATE(YEAR(B106),1,1))/(DATE(YEAR(B106)+1,1,1)-DATE(YEAR(B106),1,1))+YEAR(B106)-YEAR(B105)-1)</f>
        <v/>
      </c>
      <c r="F106" s="8">
        <f>K105</f>
        <v/>
      </c>
      <c r="G106" s="7">
        <f>$B$10</f>
        <v/>
      </c>
      <c r="H106" s="8">
        <f>F106*G106*E106</f>
        <v/>
      </c>
      <c r="I106" s="8">
        <f>SUM(H106:H106)</f>
        <v/>
      </c>
      <c r="J106" s="8">
        <f>$B$7/$B$13</f>
        <v/>
      </c>
      <c r="K106" s="8">
        <f>F106-J106</f>
        <v/>
      </c>
    </row>
    <row r="107">
      <c r="A107" t="n">
        <v>111</v>
      </c>
      <c r="B107" s="10">
        <f>MIN(DATE(YEAR($E$3),MONTH($E$3)+A107*$E$4,MIN($E$5,DAY(EOMONTH(DATE(YEAR($E$3),MONTH($E$3)+A107*$E$4,1),0)))),$B$6)</f>
        <v/>
      </c>
      <c r="C107" t="inlineStr">
        <is>
          <t>проценты, тело</t>
        </is>
      </c>
      <c r="D107">
        <f>B107-B106</f>
        <v/>
      </c>
      <c r="E107" s="11">
        <f>IF(YEAR(B106)=YEAR(B107),(B107-B106)/(DATE(YEAR(B106)+1,1,1)-DATE(YEAR(B106),1,1)),(DATE(YEAR(B106)+1,1,1)-B106)/(DATE(YEAR(B106)+1,1,1)-DATE(YEAR(B106),1,1))+(B107-DATE(YEAR(B107),1,1))/(DATE(YEAR(B107)+1,1,1)-DATE(YEAR(B107),1,1))+YEAR(B107)-YEAR(B106)-1)</f>
        <v/>
      </c>
      <c r="F107" s="8">
        <f>K106</f>
        <v/>
      </c>
      <c r="G107" s="7">
        <f>$B$10</f>
        <v/>
      </c>
      <c r="H107" s="8">
        <f>F107*G107*E107</f>
        <v/>
      </c>
      <c r="I107" s="8">
        <f>SUM(H107:H107)</f>
        <v/>
      </c>
      <c r="J107" s="8">
        <f>$B$7/$B$13</f>
        <v/>
      </c>
      <c r="K107" s="8">
        <f>F107-J107</f>
        <v/>
      </c>
    </row>
    <row r="108">
      <c r="A108" t="n">
        <v>112</v>
      </c>
      <c r="B108" s="10">
        <f>MIN(DATE(YEAR($E$3),MONTH($E$3)+A108*$E$4,MIN($E$5,DAY(EOMONTH(DATE(YEAR($E$3),MONTH($E$3)+A108*$E$4,1),0)))),$B$6)</f>
        <v/>
      </c>
      <c r="C108" t="inlineStr">
        <is>
          <t>проценты, тело</t>
        </is>
      </c>
      <c r="D108">
        <f>B108-B107</f>
        <v/>
      </c>
      <c r="E108" s="11">
        <f>IF(YEAR(B107)=YEAR(B108),(B108-B107)/(DATE(YEAR(B107)+1,1,1)-DATE(YEAR(B107),1,1)),(DATE(YEAR(B107)+1,1,1)-B107)/(DATE(YEAR(B107)+1,1,1)-DATE(YEAR(B107),1,1))+(B108-DATE(YEAR(B108),1,1))/(DATE(YEAR(B108)+1,1,1)-DATE(YEAR(B108),1,1))+YEAR(B108)-YEAR(B107)-1)</f>
        <v/>
      </c>
      <c r="F108" s="8">
        <f>K107</f>
        <v/>
      </c>
      <c r="G108" s="7">
        <f>$B$10</f>
        <v/>
      </c>
      <c r="H108" s="8">
        <f>F108*G108*E108</f>
        <v/>
      </c>
      <c r="I108" s="8">
        <f>SUM(H108:H108)</f>
        <v/>
      </c>
      <c r="J108" s="8">
        <f>$B$7/$B$13</f>
        <v/>
      </c>
      <c r="K108" s="8">
        <f>F108-J108</f>
        <v/>
      </c>
    </row>
    <row r="109">
      <c r="A109" t="n">
        <v>113</v>
      </c>
      <c r="B109" s="10">
        <f>MIN(DATE(YEAR($E$3),MONTH($E$3)+A109*$E$4,MIN($E$5,DAY(EOMONTH(DATE(YEAR($E$3),MONTH($E$3)+A109*$E$4,1),0)))),$B$6)</f>
        <v/>
      </c>
      <c r="C109" t="inlineStr">
        <is>
          <t>проценты, тело</t>
        </is>
      </c>
      <c r="D109">
        <f>B109-B108</f>
        <v/>
      </c>
      <c r="E109" s="11">
        <f>IF(YEAR(B108)=YEAR(B109),(B109-B108)/(DATE(YEAR(B108)+1,1,1)-DATE(YEAR(B108),1,1)),(DATE(YEAR(B108)+1,1,1)-B108)/(DATE(YEAR(B108)+1,1,1)-DATE(YEAR(B108),1,1))+(B109-DATE(YEAR(B109),1,1))/(DATE(YEAR(B109)+1,1,1)-DATE(YEAR(B109),1,1))+YEAR(B109)-YEAR(B108)-1)</f>
        <v/>
      </c>
      <c r="F109" s="8">
        <f>K108</f>
        <v/>
      </c>
      <c r="G109" s="7">
        <f>$B$10</f>
        <v/>
      </c>
      <c r="H109" s="8">
        <f>F109*G109*E109</f>
        <v/>
      </c>
      <c r="I109" s="8">
        <f>SUM(H109:H109)</f>
        <v/>
      </c>
      <c r="J109" s="8">
        <f>$B$7/$B$13</f>
        <v/>
      </c>
      <c r="K109" s="8">
        <f>F109-J109</f>
        <v/>
      </c>
    </row>
    <row r="110">
      <c r="A110" t="n">
        <v>114</v>
      </c>
      <c r="B110" s="10">
        <f>MIN(DATE(YEAR($E$3),MONTH($E$3)+A110*$E$4,MIN($E$5,DAY(EOMONTH(DATE(YEAR($E$3),MONTH($E$3)+A110*$E$4,1),0)))),$B$6)</f>
        <v/>
      </c>
      <c r="C110" t="inlineStr">
        <is>
          <t>проценты, тело</t>
        </is>
      </c>
      <c r="D110">
        <f>B110-B109</f>
        <v/>
      </c>
      <c r="E110" s="11">
        <f>IF(YEAR(B109)=YEAR(B110),(B110-B109)/(DATE(YEAR(B109)+1,1,1)-DATE(YEAR(B109),1,1)),(DATE(YEAR(B109)+1,1,1)-B109)/(DATE(YEAR(B109)+1,1,1)-DATE(YEAR(B109),1,1))+(B110-DATE(YEAR(B110),1,1))/(DATE(YEAR(B110)+1,1,1)-DATE(YEAR(B110),1,1))+YEAR(B110)-YEAR(B109)-1)</f>
        <v/>
      </c>
      <c r="F110" s="8">
        <f>K109</f>
        <v/>
      </c>
      <c r="G110" s="7">
        <f>$B$10</f>
        <v/>
      </c>
      <c r="H110" s="8">
        <f>F110*G110*E110</f>
        <v/>
      </c>
      <c r="I110" s="8">
        <f>SUM(H110:H110)</f>
        <v/>
      </c>
      <c r="J110" s="8">
        <f>$B$7/$B$13</f>
        <v/>
      </c>
      <c r="K110" s="8">
        <f>F110-J110</f>
        <v/>
      </c>
    </row>
    <row r="111">
      <c r="A111" t="n">
        <v>115</v>
      </c>
      <c r="B111" s="10">
        <f>MIN(DATE(YEAR($E$3),MONTH($E$3)+A111*$E$4,MIN($E$5,DAY(EOMONTH(DATE(YEAR($E$3),MONTH($E$3)+A111*$E$4,1),0)))),$B$6)</f>
        <v/>
      </c>
      <c r="C111" t="inlineStr">
        <is>
          <t>проценты, тело</t>
        </is>
      </c>
      <c r="D111">
        <f>B111-B110</f>
        <v/>
      </c>
      <c r="E111" s="11">
        <f>IF(YEAR(B110)=YEAR(B111),(B111-B110)/(DATE(YEAR(B110)+1,1,1)-DATE(YEAR(B110),1,1)),(DATE(YEAR(B110)+1,1,1)-B110)/(DATE(YEAR(B110)+1,1,1)-DATE(YEAR(B110),1,1))+(B111-DATE(YEAR(B111),1,1))/(DATE(YEAR(B111)+1,1,1)-DATE(YEAR(B111),1,1))+YEAR(B111)-YEAR(B110)-1)</f>
        <v/>
      </c>
      <c r="F111" s="8">
        <f>K110</f>
        <v/>
      </c>
      <c r="G111" s="7">
        <f>$B$10</f>
        <v/>
      </c>
      <c r="H111" s="8">
        <f>F111*G111*E111</f>
        <v/>
      </c>
      <c r="I111" s="8">
        <f>SUM(H111:H111)</f>
        <v/>
      </c>
      <c r="J111" s="8">
        <f>$B$7/$B$13</f>
        <v/>
      </c>
      <c r="K111" s="8">
        <f>F111-J111</f>
        <v/>
      </c>
    </row>
    <row r="112">
      <c r="A112" t="n">
        <v>116</v>
      </c>
      <c r="B112" s="10">
        <f>MIN(DATE(YEAR($E$3),MONTH($E$3)+A112*$E$4,MIN($E$5,DAY(EOMONTH(DATE(YEAR($E$3),MONTH($E$3)+A112*$E$4,1),0)))),$B$6)</f>
        <v/>
      </c>
      <c r="C112" t="inlineStr">
        <is>
          <t>проценты, тело</t>
        </is>
      </c>
      <c r="D112">
        <f>B112-B111</f>
        <v/>
      </c>
      <c r="E112" s="11">
        <f>IF(YEAR(B111)=YEAR(B112),(B112-B111)/(DATE(YEAR(B111)+1,1,1)-DATE(YEAR(B111),1,1)),(DATE(YEAR(B111)+1,1,1)-B111)/(DATE(YEAR(B111)+1,1,1)-DATE(YEAR(B111),1,1))+(B112-DATE(YEAR(B112),1,1))/(DATE(YEAR(B112)+1,1,1)-DATE(YEAR(B112),1,1))+YEAR(B112)-YEAR(B111)-1)</f>
        <v/>
      </c>
      <c r="F112" s="8">
        <f>K111</f>
        <v/>
      </c>
      <c r="G112" s="7">
        <f>$B$10</f>
        <v/>
      </c>
      <c r="H112" s="8">
        <f>F112*G112*E112</f>
        <v/>
      </c>
      <c r="I112" s="8">
        <f>SUM(H112:H112)</f>
        <v/>
      </c>
      <c r="J112" s="8">
        <f>$B$7/$B$13</f>
        <v/>
      </c>
      <c r="K112" s="8">
        <f>F112-J112</f>
        <v/>
      </c>
    </row>
    <row r="113">
      <c r="A113" t="n">
        <v>117</v>
      </c>
      <c r="B113" s="10">
        <f>MIN(DATE(YEAR($E$3),MONTH($E$3)+A113*$E$4,MIN($E$5,DAY(EOMONTH(DATE(YEAR($E$3),MONTH($E$3)+A113*$E$4,1),0)))),$B$6)</f>
        <v/>
      </c>
      <c r="C113" t="inlineStr">
        <is>
          <t>проценты, тело</t>
        </is>
      </c>
      <c r="D113">
        <f>B113-B112</f>
        <v/>
      </c>
      <c r="E113" s="11">
        <f>IF(YEAR(B112)=YEAR(B113),(B113-B112)/(DATE(YEAR(B112)+1,1,1)-DATE(YEAR(B112),1,1)),(DATE(YEAR(B112)+1,1,1)-B112)/(DATE(YEAR(B112)+1,1,1)-DATE(YEAR(B112),1,1))+(B113-DATE(YEAR(B113),1,1))/(DATE(YEAR(B113)+1,1,1)-DATE(YEAR(B113),1,1))+YEAR(B113)-YEAR(B112)-1)</f>
        <v/>
      </c>
      <c r="F113" s="8">
        <f>K112</f>
        <v/>
      </c>
      <c r="G113" s="7">
        <f>$B$10</f>
        <v/>
      </c>
      <c r="H113" s="8">
        <f>F113*G113*E113</f>
        <v/>
      </c>
      <c r="I113" s="8">
        <f>SUM(H113:H113)</f>
        <v/>
      </c>
      <c r="J113" s="8">
        <f>$B$7/$B$13</f>
        <v/>
      </c>
      <c r="K113" s="8">
        <f>F113-J113</f>
        <v/>
      </c>
    </row>
    <row r="114">
      <c r="A114" t="n">
        <v>118</v>
      </c>
      <c r="B114" s="10">
        <f>MIN(DATE(YEAR($E$3),MONTH($E$3)+A114*$E$4,MIN($E$5,DAY(EOMONTH(DATE(YEAR($E$3),MONTH($E$3)+A114*$E$4,1),0)))),$B$6)</f>
        <v/>
      </c>
      <c r="C114" t="inlineStr">
        <is>
          <t>проценты, тело</t>
        </is>
      </c>
      <c r="D114">
        <f>B114-B113</f>
        <v/>
      </c>
      <c r="E114" s="11">
        <f>IF(YEAR(B113)=YEAR(B114),(B114-B113)/(DATE(YEAR(B113)+1,1,1)-DATE(YEAR(B113),1,1)),(DATE(YEAR(B113)+1,1,1)-B113)/(DATE(YEAR(B113)+1,1,1)-DATE(YEAR(B113),1,1))+(B114-DATE(YEAR(B114),1,1))/(DATE(YEAR(B114)+1,1,1)-DATE(YEAR(B114),1,1))+YEAR(B114)-YEAR(B113)-1)</f>
        <v/>
      </c>
      <c r="F114" s="8">
        <f>K113</f>
        <v/>
      </c>
      <c r="G114" s="7">
        <f>$B$10</f>
        <v/>
      </c>
      <c r="H114" s="8">
        <f>F114*G114*E114</f>
        <v/>
      </c>
      <c r="I114" s="8">
        <f>SUM(H114:H114)</f>
        <v/>
      </c>
      <c r="J114" s="8">
        <f>$B$7/$B$13</f>
        <v/>
      </c>
      <c r="K114" s="8">
        <f>F114-J114</f>
        <v/>
      </c>
    </row>
    <row r="115">
      <c r="A115" t="n">
        <v>119</v>
      </c>
      <c r="B115" s="10">
        <f>MIN(DATE(YEAR($E$3),MONTH($E$3)+A115*$E$4,MIN($E$5,DAY(EOMONTH(DATE(YEAR($E$3),MONTH($E$3)+A115*$E$4,1),0)))),$B$6)</f>
        <v/>
      </c>
      <c r="C115" t="inlineStr">
        <is>
          <t>проценты, тело</t>
        </is>
      </c>
      <c r="D115">
        <f>B115-B114</f>
        <v/>
      </c>
      <c r="E115" s="11">
        <f>IF(YEAR(B114)=YEAR(B115),(B115-B114)/(DATE(YEAR(B114)+1,1,1)-DATE(YEAR(B114),1,1)),(DATE(YEAR(B114)+1,1,1)-B114)/(DATE(YEAR(B114)+1,1,1)-DATE(YEAR(B114),1,1))+(B115-DATE(YEAR(B115),1,1))/(DATE(YEAR(B115)+1,1,1)-DATE(YEAR(B115),1,1))+YEAR(B115)-YEAR(B114)-1)</f>
        <v/>
      </c>
      <c r="F115" s="8">
        <f>K114</f>
        <v/>
      </c>
      <c r="G115" s="7">
        <f>$B$10</f>
        <v/>
      </c>
      <c r="H115" s="8">
        <f>F115*G115*E115</f>
        <v/>
      </c>
      <c r="I115" s="8">
        <f>SUM(H115:H115)</f>
        <v/>
      </c>
      <c r="J115" s="8">
        <f>$B$7/$B$13</f>
        <v/>
      </c>
      <c r="K115" s="8">
        <f>F115-J115</f>
        <v/>
      </c>
    </row>
    <row r="116">
      <c r="A116" t="n">
        <v>120</v>
      </c>
      <c r="B116" s="10">
        <f>MIN(DATE(YEAR($E$3),MONTH($E$3)+A116*$E$4,MIN($E$5,DAY(EOMONTH(DATE(YEAR($E$3),MONTH($E$3)+A116*$E$4,1),0)))),$B$6)</f>
        <v/>
      </c>
      <c r="C116" t="inlineStr">
        <is>
          <t>проценты, тело</t>
        </is>
      </c>
      <c r="D116">
        <f>B116-B115</f>
        <v/>
      </c>
      <c r="E116" s="11">
        <f>IF(YEAR(B115)=YEAR(B116),(B116-B115)/(DATE(YEAR(B115)+1,1,1)-DATE(YEAR(B115),1,1)),(DATE(YEAR(B115)+1,1,1)-B115)/(DATE(YEAR(B115)+1,1,1)-DATE(YEAR(B115),1,1))+(B116-DATE(YEAR(B116),1,1))/(DATE(YEAR(B116)+1,1,1)-DATE(YEAR(B116),1,1))+YEAR(B116)-YEAR(B115)-1)</f>
        <v/>
      </c>
      <c r="F116" s="8">
        <f>K115</f>
        <v/>
      </c>
      <c r="G116" s="7">
        <f>$B$10</f>
        <v/>
      </c>
      <c r="H116" s="8">
        <f>F116*G116*E116</f>
        <v/>
      </c>
      <c r="I116" s="8">
        <f>SUM(H116:H116)</f>
        <v/>
      </c>
      <c r="J116" s="8">
        <f>$B$7/$B$13</f>
        <v/>
      </c>
      <c r="K116" s="8">
        <f>F116-J116</f>
        <v/>
      </c>
    </row>
    <row r="117">
      <c r="A117" t="n">
        <v>121</v>
      </c>
      <c r="B117" s="10">
        <f>MIN(DATE(YEAR($E$3),MONTH($E$3)+A117*$E$4,MIN($E$5,DAY(EOMONTH(DATE(YEAR($E$3),MONTH($E$3)+A117*$E$4,1),0)))),$B$6)</f>
        <v/>
      </c>
      <c r="C117" t="inlineStr">
        <is>
          <t>проценты, тело</t>
        </is>
      </c>
      <c r="D117">
        <f>B117-B116</f>
        <v/>
      </c>
      <c r="E117" s="11">
        <f>IF(YEAR(B116)=YEAR(B117),(B117-B116)/(DATE(YEAR(B116)+1,1,1)-DATE(YEAR(B116),1,1)),(DATE(YEAR(B116)+1,1,1)-B116)/(DATE(YEAR(B116)+1,1,1)-DATE(YEAR(B116),1,1))+(B117-DATE(YEAR(B117),1,1))/(DATE(YEAR(B117)+1,1,1)-DATE(YEAR(B117),1,1))+YEAR(B117)-YEAR(B116)-1)</f>
        <v/>
      </c>
      <c r="F117" s="8">
        <f>K116</f>
        <v/>
      </c>
      <c r="G117" s="7">
        <f>$B$10</f>
        <v/>
      </c>
      <c r="H117" s="8">
        <f>F117*G117*E117</f>
        <v/>
      </c>
      <c r="I117" s="8">
        <f>SUM(H117:H117)</f>
        <v/>
      </c>
      <c r="J117" s="8">
        <f>$B$7/$B$13</f>
        <v/>
      </c>
      <c r="K117" s="8">
        <f>F117-J117</f>
        <v/>
      </c>
    </row>
    <row r="118">
      <c r="A118" t="n">
        <v>122</v>
      </c>
      <c r="B118" s="10">
        <f>MIN(DATE(YEAR($E$3),MONTH($E$3)+A118*$E$4,MIN($E$5,DAY(EOMONTH(DATE(YEAR($E$3),MONTH($E$3)+A118*$E$4,1),0)))),$B$6)</f>
        <v/>
      </c>
      <c r="C118" t="inlineStr">
        <is>
          <t>проценты, тело</t>
        </is>
      </c>
      <c r="D118">
        <f>B118-B117</f>
        <v/>
      </c>
      <c r="E118" s="11">
        <f>IF(YEAR(B117)=YEAR(B118),(B118-B117)/(DATE(YEAR(B117)+1,1,1)-DATE(YEAR(B117),1,1)),(DATE(YEAR(B117)+1,1,1)-B117)/(DATE(YEAR(B117)+1,1,1)-DATE(YEAR(B117),1,1))+(B118-DATE(YEAR(B118),1,1))/(DATE(YEAR(B118)+1,1,1)-DATE(YEAR(B118),1,1))+YEAR(B118)-YEAR(B117)-1)</f>
        <v/>
      </c>
      <c r="F118" s="8">
        <f>K117</f>
        <v/>
      </c>
      <c r="G118" s="7">
        <f>$B$10</f>
        <v/>
      </c>
      <c r="H118" s="8">
        <f>F118*G118*E118</f>
        <v/>
      </c>
      <c r="I118" s="8">
        <f>SUM(H118:H118)</f>
        <v/>
      </c>
      <c r="J118" s="8">
        <f>$B$7/$B$13</f>
        <v/>
      </c>
      <c r="K118" s="8">
        <f>F118-J118</f>
        <v/>
      </c>
    </row>
    <row r="119">
      <c r="A119" t="n">
        <v>123</v>
      </c>
      <c r="B119" s="10">
        <f>MIN(DATE(YEAR($E$3),MONTH($E$3)+A119*$E$4,MIN($E$5,DAY(EOMONTH(DATE(YEAR($E$3),MONTH($E$3)+A119*$E$4,1),0)))),$B$6)</f>
        <v/>
      </c>
      <c r="C119" t="inlineStr">
        <is>
          <t>проценты, тело</t>
        </is>
      </c>
      <c r="D119">
        <f>B119-B118</f>
        <v/>
      </c>
      <c r="E119" s="11">
        <f>IF(YEAR(B118)=YEAR(B119),(B119-B118)/(DATE(YEAR(B118)+1,1,1)-DATE(YEAR(B118),1,1)),(DATE(YEAR(B118)+1,1,1)-B118)/(DATE(YEAR(B118)+1,1,1)-DATE(YEAR(B118),1,1))+(B119-DATE(YEAR(B119),1,1))/(DATE(YEAR(B119)+1,1,1)-DATE(YEAR(B119),1,1))+YEAR(B119)-YEAR(B118)-1)</f>
        <v/>
      </c>
      <c r="F119" s="8">
        <f>K118</f>
        <v/>
      </c>
      <c r="G119" s="7">
        <f>$B$10</f>
        <v/>
      </c>
      <c r="H119" s="8">
        <f>F119*G119*E119</f>
        <v/>
      </c>
      <c r="I119" s="8">
        <f>SUM(H119:H119)</f>
        <v/>
      </c>
      <c r="J119" s="8">
        <f>$B$7/$B$13</f>
        <v/>
      </c>
      <c r="K119" s="8">
        <f>F119-J119</f>
        <v/>
      </c>
    </row>
    <row r="120">
      <c r="A120" t="n">
        <v>124</v>
      </c>
      <c r="B120" s="10">
        <f>MIN(DATE(YEAR($E$3),MONTH($E$3)+A120*$E$4,MIN($E$5,DAY(EOMONTH(DATE(YEAR($E$3),MONTH($E$3)+A120*$E$4,1),0)))),$B$6)</f>
        <v/>
      </c>
      <c r="C120" t="inlineStr">
        <is>
          <t>проценты, тело</t>
        </is>
      </c>
      <c r="D120">
        <f>B120-B119</f>
        <v/>
      </c>
      <c r="E120" s="11">
        <f>IF(YEAR(B119)=YEAR(B120),(B120-B119)/(DATE(YEAR(B119)+1,1,1)-DATE(YEAR(B119),1,1)),(DATE(YEAR(B119)+1,1,1)-B119)/(DATE(YEAR(B119)+1,1,1)-DATE(YEAR(B119),1,1))+(B120-DATE(YEAR(B120),1,1))/(DATE(YEAR(B120)+1,1,1)-DATE(YEAR(B120),1,1))+YEAR(B120)-YEAR(B119)-1)</f>
        <v/>
      </c>
      <c r="F120" s="8">
        <f>K119</f>
        <v/>
      </c>
      <c r="G120" s="7">
        <f>$B$10</f>
        <v/>
      </c>
      <c r="H120" s="8">
        <f>F120*G120*E120</f>
        <v/>
      </c>
      <c r="I120" s="8">
        <f>SUM(H120:H120)</f>
        <v/>
      </c>
      <c r="J120" s="8">
        <f>$B$7/$B$13</f>
        <v/>
      </c>
      <c r="K120" s="8">
        <f>F120-J120</f>
        <v/>
      </c>
    </row>
    <row r="121">
      <c r="A121" t="n">
        <v>125</v>
      </c>
      <c r="B121" s="10">
        <f>MIN(DATE(YEAR($E$3),MONTH($E$3)+A121*$E$4,MIN($E$5,DAY(EOMONTH(DATE(YEAR($E$3),MONTH($E$3)+A121*$E$4,1),0)))),$B$6)</f>
        <v/>
      </c>
      <c r="C121" t="inlineStr">
        <is>
          <t>проценты, тело</t>
        </is>
      </c>
      <c r="D121">
        <f>B121-B120</f>
        <v/>
      </c>
      <c r="E121" s="11">
        <f>IF(YEAR(B120)=YEAR(B121),(B121-B120)/(DATE(YEAR(B120)+1,1,1)-DATE(YEAR(B120),1,1)),(DATE(YEAR(B120)+1,1,1)-B120)/(DATE(YEAR(B120)+1,1,1)-DATE(YEAR(B120),1,1))+(B121-DATE(YEAR(B121),1,1))/(DATE(YEAR(B121)+1,1,1)-DATE(YEAR(B121),1,1))+YEAR(B121)-YEAR(B120)-1)</f>
        <v/>
      </c>
      <c r="F121" s="8">
        <f>K120</f>
        <v/>
      </c>
      <c r="G121" s="7">
        <f>$B$10</f>
        <v/>
      </c>
      <c r="H121" s="8">
        <f>F121*G121*E121</f>
        <v/>
      </c>
      <c r="I121" s="8">
        <f>SUM(H121:H121)</f>
        <v/>
      </c>
      <c r="J121" s="8">
        <f>$B$7/$B$13</f>
        <v/>
      </c>
      <c r="K121" s="8">
        <f>F121-J121</f>
        <v/>
      </c>
    </row>
    <row r="122">
      <c r="A122" t="n">
        <v>126</v>
      </c>
      <c r="B122" s="10">
        <f>MIN(DATE(YEAR($E$3),MONTH($E$3)+A122*$E$4,MIN($E$5,DAY(EOMONTH(DATE(YEAR($E$3),MONTH($E$3)+A122*$E$4,1),0)))),$B$6)</f>
        <v/>
      </c>
      <c r="C122" t="inlineStr">
        <is>
          <t>проценты, тело</t>
        </is>
      </c>
      <c r="D122">
        <f>B122-B121</f>
        <v/>
      </c>
      <c r="E122" s="11">
        <f>IF(YEAR(B121)=YEAR(B122),(B122-B121)/(DATE(YEAR(B121)+1,1,1)-DATE(YEAR(B121),1,1)),(DATE(YEAR(B121)+1,1,1)-B121)/(DATE(YEAR(B121)+1,1,1)-DATE(YEAR(B121),1,1))+(B122-DATE(YEAR(B122),1,1))/(DATE(YEAR(B122)+1,1,1)-DATE(YEAR(B122),1,1))+YEAR(B122)-YEAR(B121)-1)</f>
        <v/>
      </c>
      <c r="F122" s="8">
        <f>K121</f>
        <v/>
      </c>
      <c r="G122" s="7">
        <f>$B$10</f>
        <v/>
      </c>
      <c r="H122" s="8">
        <f>F122*G122*E122</f>
        <v/>
      </c>
      <c r="I122" s="8">
        <f>SUM(H122:H122)</f>
        <v/>
      </c>
      <c r="J122" s="8">
        <f>$B$7/$B$13</f>
        <v/>
      </c>
      <c r="K122" s="8">
        <f>F122-J122</f>
        <v/>
      </c>
    </row>
    <row r="123">
      <c r="A123" t="n">
        <v>127</v>
      </c>
      <c r="B123" s="10">
        <f>MIN(DATE(YEAR($E$3),MONTH($E$3)+A123*$E$4,MIN($E$5,DAY(EOMONTH(DATE(YEAR($E$3),MONTH($E$3)+A123*$E$4,1),0)))),$B$6)</f>
        <v/>
      </c>
      <c r="C123" t="inlineStr">
        <is>
          <t>проценты, тело</t>
        </is>
      </c>
      <c r="D123">
        <f>B123-B122</f>
        <v/>
      </c>
      <c r="E123" s="11">
        <f>IF(YEAR(B122)=YEAR(B123),(B123-B122)/(DATE(YEAR(B122)+1,1,1)-DATE(YEAR(B122),1,1)),(DATE(YEAR(B122)+1,1,1)-B122)/(DATE(YEAR(B122)+1,1,1)-DATE(YEAR(B122),1,1))+(B123-DATE(YEAR(B123),1,1))/(DATE(YEAR(B123)+1,1,1)-DATE(YEAR(B123),1,1))+YEAR(B123)-YEAR(B122)-1)</f>
        <v/>
      </c>
      <c r="F123" s="8">
        <f>K122</f>
        <v/>
      </c>
      <c r="G123" s="7">
        <f>$B$10</f>
        <v/>
      </c>
      <c r="H123" s="8">
        <f>F123*G123*E123</f>
        <v/>
      </c>
      <c r="I123" s="8">
        <f>SUM(H123:H123)</f>
        <v/>
      </c>
      <c r="J123" s="8">
        <f>$B$7/$B$13</f>
        <v/>
      </c>
      <c r="K123" s="8">
        <f>F123-J123</f>
        <v/>
      </c>
    </row>
    <row r="124">
      <c r="A124" t="n">
        <v>128</v>
      </c>
      <c r="B124" s="10">
        <f>MIN(DATE(YEAR($E$3),MONTH($E$3)+A124*$E$4,MIN($E$5,DAY(EOMONTH(DATE(YEAR($E$3),MONTH($E$3)+A124*$E$4,1),0)))),$B$6)</f>
        <v/>
      </c>
      <c r="C124" t="inlineStr">
        <is>
          <t>проценты, тело</t>
        </is>
      </c>
      <c r="D124">
        <f>B124-B123</f>
        <v/>
      </c>
      <c r="E124" s="11">
        <f>IF(YEAR(B123)=YEAR(B124),(B124-B123)/(DATE(YEAR(B123)+1,1,1)-DATE(YEAR(B123),1,1)),(DATE(YEAR(B123)+1,1,1)-B123)/(DATE(YEAR(B123)+1,1,1)-DATE(YEAR(B123),1,1))+(B124-DATE(YEAR(B124),1,1))/(DATE(YEAR(B124)+1,1,1)-DATE(YEAR(B124),1,1))+YEAR(B124)-YEAR(B123)-1)</f>
        <v/>
      </c>
      <c r="F124" s="8">
        <f>K123</f>
        <v/>
      </c>
      <c r="G124" s="7">
        <f>$B$10</f>
        <v/>
      </c>
      <c r="H124" s="8">
        <f>F124*G124*E124</f>
        <v/>
      </c>
      <c r="I124" s="8">
        <f>SUM(H124:H124)</f>
        <v/>
      </c>
      <c r="J124" s="8">
        <f>$B$7/$B$13</f>
        <v/>
      </c>
      <c r="K124" s="8">
        <f>F124-J124</f>
        <v/>
      </c>
    </row>
    <row r="125">
      <c r="A125" t="n">
        <v>129</v>
      </c>
      <c r="B125" s="10">
        <f>MIN(DATE(YEAR($E$3),MONTH($E$3)+A125*$E$4,MIN($E$5,DAY(EOMONTH(DATE(YEAR($E$3),MONTH($E$3)+A125*$E$4,1),0)))),$B$6)</f>
        <v/>
      </c>
      <c r="C125" t="inlineStr">
        <is>
          <t>проценты, тело</t>
        </is>
      </c>
      <c r="D125">
        <f>B125-B124</f>
        <v/>
      </c>
      <c r="E125" s="11">
        <f>IF(YEAR(B124)=YEAR(B125),(B125-B124)/(DATE(YEAR(B124)+1,1,1)-DATE(YEAR(B124),1,1)),(DATE(YEAR(B124)+1,1,1)-B124)/(DATE(YEAR(B124)+1,1,1)-DATE(YEAR(B124),1,1))+(B125-DATE(YEAR(B125),1,1))/(DATE(YEAR(B125)+1,1,1)-DATE(YEAR(B125),1,1))+YEAR(B125)-YEAR(B124)-1)</f>
        <v/>
      </c>
      <c r="F125" s="8">
        <f>K124</f>
        <v/>
      </c>
      <c r="G125" s="7">
        <f>$B$10</f>
        <v/>
      </c>
      <c r="H125" s="8">
        <f>F125*G125*E125</f>
        <v/>
      </c>
      <c r="I125" s="8">
        <f>SUM(H125:H125)</f>
        <v/>
      </c>
      <c r="J125" s="8">
        <f>$B$7/$B$13</f>
        <v/>
      </c>
      <c r="K125" s="8">
        <f>F125-J125</f>
        <v/>
      </c>
    </row>
    <row r="126">
      <c r="A126" t="n">
        <v>130</v>
      </c>
      <c r="B126" s="10">
        <f>MIN(DATE(YEAR($E$3),MONTH($E$3)+A126*$E$4,MIN($E$5,DAY(EOMONTH(DATE(YEAR($E$3),MONTH($E$3)+A126*$E$4,1),0)))),$B$6)</f>
        <v/>
      </c>
      <c r="C126" t="inlineStr">
        <is>
          <t>проценты, тело</t>
        </is>
      </c>
      <c r="D126">
        <f>B126-B125</f>
        <v/>
      </c>
      <c r="E126" s="11">
        <f>IF(YEAR(B125)=YEAR(B126),(B126-B125)/(DATE(YEAR(B125)+1,1,1)-DATE(YEAR(B125),1,1)),(DATE(YEAR(B125)+1,1,1)-B125)/(DATE(YEAR(B125)+1,1,1)-DATE(YEAR(B125),1,1))+(B126-DATE(YEAR(B126),1,1))/(DATE(YEAR(B126)+1,1,1)-DATE(YEAR(B126),1,1))+YEAR(B126)-YEAR(B125)-1)</f>
        <v/>
      </c>
      <c r="F126" s="8">
        <f>K125</f>
        <v/>
      </c>
      <c r="G126" s="7">
        <f>$B$10</f>
        <v/>
      </c>
      <c r="H126" s="8">
        <f>F126*G126*E126</f>
        <v/>
      </c>
      <c r="I126" s="8">
        <f>SUM(H126:H126)</f>
        <v/>
      </c>
      <c r="J126" s="8">
        <f>$B$7/$B$13</f>
        <v/>
      </c>
      <c r="K126" s="8">
        <f>F126-J126</f>
        <v/>
      </c>
    </row>
    <row r="127">
      <c r="A127" t="n">
        <v>131</v>
      </c>
      <c r="B127" s="10">
        <f>MIN(DATE(YEAR($E$3),MONTH($E$3)+A127*$E$4,MIN($E$5,DAY(EOMONTH(DATE(YEAR($E$3),MONTH($E$3)+A127*$E$4,1),0)))),$B$6)</f>
        <v/>
      </c>
      <c r="C127" t="inlineStr">
        <is>
          <t>проценты, тело</t>
        </is>
      </c>
      <c r="D127">
        <f>B127-B126</f>
        <v/>
      </c>
      <c r="E127" s="11">
        <f>IF(YEAR(B126)=YEAR(B127),(B127-B126)/(DATE(YEAR(B126)+1,1,1)-DATE(YEAR(B126),1,1)),(DATE(YEAR(B126)+1,1,1)-B126)/(DATE(YEAR(B126)+1,1,1)-DATE(YEAR(B126),1,1))+(B127-DATE(YEAR(B127),1,1))/(DATE(YEAR(B127)+1,1,1)-DATE(YEAR(B127),1,1))+YEAR(B127)-YEAR(B126)-1)</f>
        <v/>
      </c>
      <c r="F127" s="8">
        <f>K126</f>
        <v/>
      </c>
      <c r="G127" s="7">
        <f>$B$10</f>
        <v/>
      </c>
      <c r="H127" s="8">
        <f>F127*G127*E127</f>
        <v/>
      </c>
      <c r="I127" s="8">
        <f>SUM(H127:H127)</f>
        <v/>
      </c>
      <c r="J127" s="8">
        <f>$B$7/$B$13</f>
        <v/>
      </c>
      <c r="K127" s="8">
        <f>F127-J127</f>
        <v/>
      </c>
    </row>
    <row r="128">
      <c r="A128" t="n">
        <v>132</v>
      </c>
      <c r="B128" s="10">
        <f>MIN(DATE(YEAR($E$3),MONTH($E$3)+A128*$E$4,MIN($E$5,DAY(EOMONTH(DATE(YEAR($E$3),MONTH($E$3)+A128*$E$4,1),0)))),$B$6)</f>
        <v/>
      </c>
      <c r="C128" t="inlineStr">
        <is>
          <t>проценты, тело</t>
        </is>
      </c>
      <c r="D128">
        <f>B128-B127</f>
        <v/>
      </c>
      <c r="E128" s="11">
        <f>IF(YEAR(B127)=YEAR(B128),(B128-B127)/(DATE(YEAR(B127)+1,1,1)-DATE(YEAR(B127),1,1)),(DATE(YEAR(B127)+1,1,1)-B127)/(DATE(YEAR(B127)+1,1,1)-DATE(YEAR(B127),1,1))+(B128-DATE(YEAR(B128),1,1))/(DATE(YEAR(B128)+1,1,1)-DATE(YEAR(B128),1,1))+YEAR(B128)-YEAR(B127)-1)</f>
        <v/>
      </c>
      <c r="F128" s="8">
        <f>K127</f>
        <v/>
      </c>
      <c r="G128" s="7">
        <f>$B$10</f>
        <v/>
      </c>
      <c r="H128" s="8">
        <f>F128*G128*E128</f>
        <v/>
      </c>
      <c r="I128" s="8">
        <f>SUM(H128:H128)</f>
        <v/>
      </c>
      <c r="J128" s="8">
        <f>$B$7/$B$13</f>
        <v/>
      </c>
      <c r="K128" s="8">
        <f>F128-J128</f>
        <v/>
      </c>
    </row>
    <row r="129">
      <c r="A129" t="n">
        <v>133</v>
      </c>
      <c r="B129" s="10">
        <f>MIN(DATE(YEAR($E$3),MONTH($E$3)+A129*$E$4,MIN($E$5,DAY(EOMONTH(DATE(YEAR($E$3),MONTH($E$3)+A129*$E$4,1),0)))),$B$6)</f>
        <v/>
      </c>
      <c r="C129" t="inlineStr">
        <is>
          <t>проценты, тело</t>
        </is>
      </c>
      <c r="D129">
        <f>B129-B128</f>
        <v/>
      </c>
      <c r="E129" s="11">
        <f>IF(YEAR(B128)=YEAR(B129),(B129-B128)/(DATE(YEAR(B128)+1,1,1)-DATE(YEAR(B128),1,1)),(DATE(YEAR(B128)+1,1,1)-B128)/(DATE(YEAR(B128)+1,1,1)-DATE(YEAR(B128),1,1))+(B129-DATE(YEAR(B129),1,1))/(DATE(YEAR(B129)+1,1,1)-DATE(YEAR(B129),1,1))+YEAR(B129)-YEAR(B128)-1)</f>
        <v/>
      </c>
      <c r="F129" s="8">
        <f>K128</f>
        <v/>
      </c>
      <c r="G129" s="7">
        <f>$B$10</f>
        <v/>
      </c>
      <c r="H129" s="8">
        <f>F129*G129*E129</f>
        <v/>
      </c>
      <c r="I129" s="8">
        <f>SUM(H129:H129)</f>
        <v/>
      </c>
      <c r="J129" s="8">
        <f>$B$7/$B$13</f>
        <v/>
      </c>
      <c r="K129" s="8">
        <f>F129-J129</f>
        <v/>
      </c>
    </row>
    <row r="130">
      <c r="A130" t="n">
        <v>134</v>
      </c>
      <c r="B130" s="10">
        <f>MIN(DATE(YEAR($E$3),MONTH($E$3)+A130*$E$4,MIN($E$5,DAY(EOMONTH(DATE(YEAR($E$3),MONTH($E$3)+A130*$E$4,1),0)))),$B$6)</f>
        <v/>
      </c>
      <c r="C130" t="inlineStr">
        <is>
          <t>проценты, тело</t>
        </is>
      </c>
      <c r="D130">
        <f>B130-B129</f>
        <v/>
      </c>
      <c r="E130" s="11">
        <f>IF(YEAR(B129)=YEAR(B130),(B130-B129)/(DATE(YEAR(B129)+1,1,1)-DATE(YEAR(B129),1,1)),(DATE(YEAR(B129)+1,1,1)-B129)/(DATE(YEAR(B129)+1,1,1)-DATE(YEAR(B129),1,1))+(B130-DATE(YEAR(B130),1,1))/(DATE(YEAR(B130)+1,1,1)-DATE(YEAR(B130),1,1))+YEAR(B130)-YEAR(B129)-1)</f>
        <v/>
      </c>
      <c r="F130" s="8">
        <f>K129</f>
        <v/>
      </c>
      <c r="G130" s="7">
        <f>$B$10</f>
        <v/>
      </c>
      <c r="H130" s="8">
        <f>F130*G130*E130</f>
        <v/>
      </c>
      <c r="I130" s="8">
        <f>SUM(H130:H130)</f>
        <v/>
      </c>
      <c r="J130" s="8">
        <f>$B$7/$B$13</f>
        <v/>
      </c>
      <c r="K130" s="8">
        <f>F130-J130</f>
        <v/>
      </c>
    </row>
    <row r="131">
      <c r="A131" t="n">
        <v>135</v>
      </c>
      <c r="B131" s="10">
        <f>MIN(DATE(YEAR($E$3),MONTH($E$3)+A131*$E$4,MIN($E$5,DAY(EOMONTH(DATE(YEAR($E$3),MONTH($E$3)+A131*$E$4,1),0)))),$B$6)</f>
        <v/>
      </c>
      <c r="C131" t="inlineStr">
        <is>
          <t>проценты, тело</t>
        </is>
      </c>
      <c r="D131">
        <f>B131-B130</f>
        <v/>
      </c>
      <c r="E131" s="11">
        <f>IF(YEAR(B130)=YEAR(B131),(B131-B130)/(DATE(YEAR(B130)+1,1,1)-DATE(YEAR(B130),1,1)),(DATE(YEAR(B130)+1,1,1)-B130)/(DATE(YEAR(B130)+1,1,1)-DATE(YEAR(B130),1,1))+(B131-DATE(YEAR(B131),1,1))/(DATE(YEAR(B131)+1,1,1)-DATE(YEAR(B131),1,1))+YEAR(B131)-YEAR(B130)-1)</f>
        <v/>
      </c>
      <c r="F131" s="8">
        <f>K130</f>
        <v/>
      </c>
      <c r="G131" s="7">
        <f>$B$10</f>
        <v/>
      </c>
      <c r="H131" s="8">
        <f>F131*G131*E131</f>
        <v/>
      </c>
      <c r="I131" s="8">
        <f>SUM(H131:H131)</f>
        <v/>
      </c>
      <c r="J131" s="8">
        <f>$B$7/$B$13</f>
        <v/>
      </c>
      <c r="K131" s="8">
        <f>F131-J131</f>
        <v/>
      </c>
    </row>
    <row r="132">
      <c r="A132" t="n">
        <v>136</v>
      </c>
      <c r="B132" s="10">
        <f>MIN(DATE(YEAR($E$3),MONTH($E$3)+A132*$E$4,MIN($E$5,DAY(EOMONTH(DATE(YEAR($E$3),MONTH($E$3)+A132*$E$4,1),0)))),$B$6)</f>
        <v/>
      </c>
      <c r="C132" t="inlineStr">
        <is>
          <t>проценты, тело</t>
        </is>
      </c>
      <c r="D132">
        <f>B132-B131</f>
        <v/>
      </c>
      <c r="E132" s="11">
        <f>IF(YEAR(B131)=YEAR(B132),(B132-B131)/(DATE(YEAR(B131)+1,1,1)-DATE(YEAR(B131),1,1)),(DATE(YEAR(B131)+1,1,1)-B131)/(DATE(YEAR(B131)+1,1,1)-DATE(YEAR(B131),1,1))+(B132-DATE(YEAR(B132),1,1))/(DATE(YEAR(B132)+1,1,1)-DATE(YEAR(B132),1,1))+YEAR(B132)-YEAR(B131)-1)</f>
        <v/>
      </c>
      <c r="F132" s="8">
        <f>K131</f>
        <v/>
      </c>
      <c r="G132" s="7">
        <f>$B$10</f>
        <v/>
      </c>
      <c r="H132" s="8">
        <f>F132*G132*E132</f>
        <v/>
      </c>
      <c r="I132" s="8">
        <f>SUM(H132:H132)</f>
        <v/>
      </c>
      <c r="J132" s="8">
        <f>$B$7/$B$13</f>
        <v/>
      </c>
      <c r="K132" s="8">
        <f>F132-J132</f>
        <v/>
      </c>
    </row>
    <row r="133">
      <c r="A133" t="n">
        <v>137</v>
      </c>
      <c r="B133" s="10">
        <f>MIN(DATE(YEAR($E$3),MONTH($E$3)+A133*$E$4,MIN($E$5,DAY(EOMONTH(DATE(YEAR($E$3),MONTH($E$3)+A133*$E$4,1),0)))),$B$6)</f>
        <v/>
      </c>
      <c r="C133" t="inlineStr">
        <is>
          <t>проценты, тело</t>
        </is>
      </c>
      <c r="D133">
        <f>B133-B132</f>
        <v/>
      </c>
      <c r="E133" s="11">
        <f>IF(YEAR(B132)=YEAR(B133),(B133-B132)/(DATE(YEAR(B132)+1,1,1)-DATE(YEAR(B132),1,1)),(DATE(YEAR(B132)+1,1,1)-B132)/(DATE(YEAR(B132)+1,1,1)-DATE(YEAR(B132),1,1))+(B133-DATE(YEAR(B133),1,1))/(DATE(YEAR(B133)+1,1,1)-DATE(YEAR(B133),1,1))+YEAR(B133)-YEAR(B132)-1)</f>
        <v/>
      </c>
      <c r="F133" s="8">
        <f>K132</f>
        <v/>
      </c>
      <c r="G133" s="7">
        <f>$B$10</f>
        <v/>
      </c>
      <c r="H133" s="8">
        <f>F133*G133*E133</f>
        <v/>
      </c>
      <c r="I133" s="8">
        <f>SUM(H133:H133)</f>
        <v/>
      </c>
      <c r="J133" s="8">
        <f>$B$7/$B$13</f>
        <v/>
      </c>
      <c r="K133" s="8">
        <f>F133-J133</f>
        <v/>
      </c>
    </row>
    <row r="134">
      <c r="A134" t="n">
        <v>138</v>
      </c>
      <c r="B134" s="10">
        <f>MIN(DATE(YEAR($E$3),MONTH($E$3)+A134*$E$4,MIN($E$5,DAY(EOMONTH(DATE(YEAR($E$3),MONTH($E$3)+A134*$E$4,1),0)))),$B$6)</f>
        <v/>
      </c>
      <c r="C134" t="inlineStr">
        <is>
          <t>проценты, тело</t>
        </is>
      </c>
      <c r="D134">
        <f>B134-B133</f>
        <v/>
      </c>
      <c r="E134" s="11">
        <f>IF(YEAR(B133)=YEAR(B134),(B134-B133)/(DATE(YEAR(B133)+1,1,1)-DATE(YEAR(B133),1,1)),(DATE(YEAR(B133)+1,1,1)-B133)/(DATE(YEAR(B133)+1,1,1)-DATE(YEAR(B133),1,1))+(B134-DATE(YEAR(B134),1,1))/(DATE(YEAR(B134)+1,1,1)-DATE(YEAR(B134),1,1))+YEAR(B134)-YEAR(B133)-1)</f>
        <v/>
      </c>
      <c r="F134" s="8">
        <f>K133</f>
        <v/>
      </c>
      <c r="G134" s="7">
        <f>$B$10</f>
        <v/>
      </c>
      <c r="H134" s="8">
        <f>F134*G134*E134</f>
        <v/>
      </c>
      <c r="I134" s="8">
        <f>SUM(H134:H134)</f>
        <v/>
      </c>
      <c r="J134" s="8">
        <f>$B$7/$B$13</f>
        <v/>
      </c>
      <c r="K134" s="8">
        <f>F134-J134</f>
        <v/>
      </c>
    </row>
    <row r="135">
      <c r="A135" t="n">
        <v>139</v>
      </c>
      <c r="B135" s="10">
        <f>MIN(DATE(YEAR($E$3),MONTH($E$3)+A135*$E$4,MIN($E$5,DAY(EOMONTH(DATE(YEAR($E$3),MONTH($E$3)+A135*$E$4,1),0)))),$B$6)</f>
        <v/>
      </c>
      <c r="C135" t="inlineStr">
        <is>
          <t>проценты, тело</t>
        </is>
      </c>
      <c r="D135">
        <f>B135-B134</f>
        <v/>
      </c>
      <c r="E135" s="11">
        <f>IF(YEAR(B134)=YEAR(B135),(B135-B134)/(DATE(YEAR(B134)+1,1,1)-DATE(YEAR(B134),1,1)),(DATE(YEAR(B134)+1,1,1)-B134)/(DATE(YEAR(B134)+1,1,1)-DATE(YEAR(B134),1,1))+(B135-DATE(YEAR(B135),1,1))/(DATE(YEAR(B135)+1,1,1)-DATE(YEAR(B135),1,1))+YEAR(B135)-YEAR(B134)-1)</f>
        <v/>
      </c>
      <c r="F135" s="8">
        <f>K134</f>
        <v/>
      </c>
      <c r="G135" s="7">
        <f>$B$10</f>
        <v/>
      </c>
      <c r="H135" s="8">
        <f>F135*G135*E135</f>
        <v/>
      </c>
      <c r="I135" s="8">
        <f>SUM(H135:H135)</f>
        <v/>
      </c>
      <c r="J135" s="8">
        <f>$B$7/$B$13</f>
        <v/>
      </c>
      <c r="K135" s="8">
        <f>F135-J135</f>
        <v/>
      </c>
    </row>
    <row r="136">
      <c r="A136" t="n">
        <v>140</v>
      </c>
      <c r="B136" s="10">
        <f>MIN(DATE(YEAR($E$3),MONTH($E$3)+A136*$E$4,MIN($E$5,DAY(EOMONTH(DATE(YEAR($E$3),MONTH($E$3)+A136*$E$4,1),0)))),$B$6)</f>
        <v/>
      </c>
      <c r="C136" t="inlineStr">
        <is>
          <t>проценты, тело</t>
        </is>
      </c>
      <c r="D136">
        <f>B136-B135</f>
        <v/>
      </c>
      <c r="E136" s="11">
        <f>IF(YEAR(B135)=YEAR(B136),(B136-B135)/(DATE(YEAR(B135)+1,1,1)-DATE(YEAR(B135),1,1)),(DATE(YEAR(B135)+1,1,1)-B135)/(DATE(YEAR(B135)+1,1,1)-DATE(YEAR(B135),1,1))+(B136-DATE(YEAR(B136),1,1))/(DATE(YEAR(B136)+1,1,1)-DATE(YEAR(B136),1,1))+YEAR(B136)-YEAR(B135)-1)</f>
        <v/>
      </c>
      <c r="F136" s="8">
        <f>K135</f>
        <v/>
      </c>
      <c r="G136" s="7">
        <f>$B$10</f>
        <v/>
      </c>
      <c r="H136" s="8">
        <f>F136*G136*E136</f>
        <v/>
      </c>
      <c r="I136" s="8">
        <f>SUM(H136:H136)</f>
        <v/>
      </c>
      <c r="J136" s="8">
        <f>$B$7/$B$13</f>
        <v/>
      </c>
      <c r="K136" s="8">
        <f>F136-J136</f>
        <v/>
      </c>
    </row>
    <row r="137">
      <c r="A137" t="n">
        <v>141</v>
      </c>
      <c r="B137" s="10">
        <f>MIN(DATE(YEAR($E$3),MONTH($E$3)+A137*$E$4,MIN($E$5,DAY(EOMONTH(DATE(YEAR($E$3),MONTH($E$3)+A137*$E$4,1),0)))),$B$6)</f>
        <v/>
      </c>
      <c r="C137" t="inlineStr">
        <is>
          <t>проценты, тело</t>
        </is>
      </c>
      <c r="D137">
        <f>B137-B136</f>
        <v/>
      </c>
      <c r="E137" s="11">
        <f>IF(YEAR(B136)=YEAR(B137),(B137-B136)/(DATE(YEAR(B136)+1,1,1)-DATE(YEAR(B136),1,1)),(DATE(YEAR(B136)+1,1,1)-B136)/(DATE(YEAR(B136)+1,1,1)-DATE(YEAR(B136),1,1))+(B137-DATE(YEAR(B137),1,1))/(DATE(YEAR(B137)+1,1,1)-DATE(YEAR(B137),1,1))+YEAR(B137)-YEAR(B136)-1)</f>
        <v/>
      </c>
      <c r="F137" s="8">
        <f>K136</f>
        <v/>
      </c>
      <c r="G137" s="7">
        <f>$B$10</f>
        <v/>
      </c>
      <c r="H137" s="8">
        <f>F137*G137*E137</f>
        <v/>
      </c>
      <c r="I137" s="8">
        <f>SUM(H137:H137)</f>
        <v/>
      </c>
      <c r="J137" s="8">
        <f>$B$7/$B$13</f>
        <v/>
      </c>
      <c r="K137" s="8">
        <f>F137-J137</f>
        <v/>
      </c>
    </row>
    <row r="138">
      <c r="A138" t="n">
        <v>142</v>
      </c>
      <c r="B138" s="10">
        <f>MIN(DATE(YEAR($E$3),MONTH($E$3)+A138*$E$4,MIN($E$5,DAY(EOMONTH(DATE(YEAR($E$3),MONTH($E$3)+A138*$E$4,1),0)))),$B$6)</f>
        <v/>
      </c>
      <c r="C138" t="inlineStr">
        <is>
          <t>проценты, тело</t>
        </is>
      </c>
      <c r="D138">
        <f>B138-B137</f>
        <v/>
      </c>
      <c r="E138" s="11">
        <f>IF(YEAR(B137)=YEAR(B138),(B138-B137)/(DATE(YEAR(B137)+1,1,1)-DATE(YEAR(B137),1,1)),(DATE(YEAR(B137)+1,1,1)-B137)/(DATE(YEAR(B137)+1,1,1)-DATE(YEAR(B137),1,1))+(B138-DATE(YEAR(B138),1,1))/(DATE(YEAR(B138)+1,1,1)-DATE(YEAR(B138),1,1))+YEAR(B138)-YEAR(B137)-1)</f>
        <v/>
      </c>
      <c r="F138" s="8">
        <f>K137</f>
        <v/>
      </c>
      <c r="G138" s="7">
        <f>$B$10</f>
        <v/>
      </c>
      <c r="H138" s="8">
        <f>F138*G138*E138</f>
        <v/>
      </c>
      <c r="I138" s="8">
        <f>SUM(H138:H138)</f>
        <v/>
      </c>
      <c r="J138" s="8">
        <f>$B$7/$B$13</f>
        <v/>
      </c>
      <c r="K138" s="8">
        <f>F138-J138</f>
        <v/>
      </c>
    </row>
    <row r="139">
      <c r="A139" t="n">
        <v>143</v>
      </c>
      <c r="B139" s="10">
        <f>MIN(DATE(YEAR($E$3),MONTH($E$3)+A139*$E$4,MIN($E$5,DAY(EOMONTH(DATE(YEAR($E$3),MONTH($E$3)+A139*$E$4,1),0)))),$B$6)</f>
        <v/>
      </c>
      <c r="C139" t="inlineStr">
        <is>
          <t>проценты, тело</t>
        </is>
      </c>
      <c r="D139">
        <f>B139-B138</f>
        <v/>
      </c>
      <c r="E139" s="11">
        <f>IF(YEAR(B138)=YEAR(B139),(B139-B138)/(DATE(YEAR(B138)+1,1,1)-DATE(YEAR(B138),1,1)),(DATE(YEAR(B138)+1,1,1)-B138)/(DATE(YEAR(B138)+1,1,1)-DATE(YEAR(B138),1,1))+(B139-DATE(YEAR(B139),1,1))/(DATE(YEAR(B139)+1,1,1)-DATE(YEAR(B139),1,1))+YEAR(B139)-YEAR(B138)-1)</f>
        <v/>
      </c>
      <c r="F139" s="8">
        <f>K138</f>
        <v/>
      </c>
      <c r="G139" s="7">
        <f>$B$10</f>
        <v/>
      </c>
      <c r="H139" s="8">
        <f>F139*G139*E139</f>
        <v/>
      </c>
      <c r="I139" s="8">
        <f>SUM(H139:H139)</f>
        <v/>
      </c>
      <c r="J139" s="8">
        <f>$B$7/$B$13</f>
        <v/>
      </c>
      <c r="K139" s="8">
        <f>F139-J139</f>
        <v/>
      </c>
    </row>
    <row r="140">
      <c r="A140" t="n">
        <v>144</v>
      </c>
      <c r="B140" s="10">
        <f>MIN(DATE(YEAR($E$3),MONTH($E$3)+A140*$E$4,MIN($E$5,DAY(EOMONTH(DATE(YEAR($E$3),MONTH($E$3)+A140*$E$4,1),0)))),$B$6)</f>
        <v/>
      </c>
      <c r="C140" t="inlineStr">
        <is>
          <t>проценты, тело</t>
        </is>
      </c>
      <c r="D140">
        <f>B140-B139</f>
        <v/>
      </c>
      <c r="E140" s="11">
        <f>IF(YEAR(B139)=YEAR(B140),(B140-B139)/(DATE(YEAR(B139)+1,1,1)-DATE(YEAR(B139),1,1)),(DATE(YEAR(B139)+1,1,1)-B139)/(DATE(YEAR(B139)+1,1,1)-DATE(YEAR(B139),1,1))+(B140-DATE(YEAR(B140),1,1))/(DATE(YEAR(B140)+1,1,1)-DATE(YEAR(B140),1,1))+YEAR(B140)-YEAR(B139)-1)</f>
        <v/>
      </c>
      <c r="F140" s="8">
        <f>K139</f>
        <v/>
      </c>
      <c r="G140" s="7">
        <f>$B$10</f>
        <v/>
      </c>
      <c r="H140" s="8">
        <f>F140*G140*E140</f>
        <v/>
      </c>
      <c r="I140" s="8">
        <f>SUM(H140:H140)</f>
        <v/>
      </c>
      <c r="J140" s="8">
        <f>$B$7/$B$13</f>
        <v/>
      </c>
      <c r="K140" s="8">
        <f>F140-J140</f>
        <v/>
      </c>
    </row>
    <row r="141">
      <c r="A141" t="n">
        <v>145</v>
      </c>
      <c r="B141" s="10">
        <f>MIN(DATE(YEAR($E$3),MONTH($E$3)+A141*$E$4,MIN($E$5,DAY(EOMONTH(DATE(YEAR($E$3),MONTH($E$3)+A141*$E$4,1),0)))),$B$6)</f>
        <v/>
      </c>
      <c r="C141" t="inlineStr">
        <is>
          <t>проценты, тело</t>
        </is>
      </c>
      <c r="D141">
        <f>B141-B140</f>
        <v/>
      </c>
      <c r="E141" s="11">
        <f>IF(YEAR(B140)=YEAR(B141),(B141-B140)/(DATE(YEAR(B140)+1,1,1)-DATE(YEAR(B140),1,1)),(DATE(YEAR(B140)+1,1,1)-B140)/(DATE(YEAR(B140)+1,1,1)-DATE(YEAR(B140),1,1))+(B141-DATE(YEAR(B141),1,1))/(DATE(YEAR(B141)+1,1,1)-DATE(YEAR(B141),1,1))+YEAR(B141)-YEAR(B140)-1)</f>
        <v/>
      </c>
      <c r="F141" s="8">
        <f>K140</f>
        <v/>
      </c>
      <c r="G141" s="7">
        <f>$B$10</f>
        <v/>
      </c>
      <c r="H141" s="8">
        <f>F141*G141*E141</f>
        <v/>
      </c>
      <c r="I141" s="8">
        <f>SUM(H141:H141)</f>
        <v/>
      </c>
      <c r="J141" s="8">
        <f>$B$7/$B$13</f>
        <v/>
      </c>
      <c r="K141" s="8">
        <f>F141-J141</f>
        <v/>
      </c>
    </row>
    <row r="142">
      <c r="A142" t="n">
        <v>146</v>
      </c>
      <c r="B142" s="10">
        <f>MIN(DATE(YEAR($E$3),MONTH($E$3)+A142*$E$4,MIN($E$5,DAY(EOMONTH(DATE(YEAR($E$3),MONTH($E$3)+A142*$E$4,1),0)))),$B$6)</f>
        <v/>
      </c>
      <c r="C142" t="inlineStr">
        <is>
          <t>проценты, тело</t>
        </is>
      </c>
      <c r="D142">
        <f>B142-B141</f>
        <v/>
      </c>
      <c r="E142" s="11">
        <f>IF(YEAR(B141)=YEAR(B142),(B142-B141)/(DATE(YEAR(B141)+1,1,1)-DATE(YEAR(B141),1,1)),(DATE(YEAR(B141)+1,1,1)-B141)/(DATE(YEAR(B141)+1,1,1)-DATE(YEAR(B141),1,1))+(B142-DATE(YEAR(B142),1,1))/(DATE(YEAR(B142)+1,1,1)-DATE(YEAR(B142),1,1))+YEAR(B142)-YEAR(B141)-1)</f>
        <v/>
      </c>
      <c r="F142" s="8">
        <f>K141</f>
        <v/>
      </c>
      <c r="G142" s="7">
        <f>$B$10</f>
        <v/>
      </c>
      <c r="H142" s="8">
        <f>F142*G142*E142</f>
        <v/>
      </c>
      <c r="I142" s="8">
        <f>SUM(H142:H142)</f>
        <v/>
      </c>
      <c r="J142" s="8">
        <f>$B$7/$B$13</f>
        <v/>
      </c>
      <c r="K142" s="8">
        <f>F142-J142</f>
        <v/>
      </c>
    </row>
    <row r="143">
      <c r="A143" t="n">
        <v>147</v>
      </c>
      <c r="B143" s="10">
        <f>MIN(DATE(YEAR($E$3),MONTH($E$3)+A143*$E$4,MIN($E$5,DAY(EOMONTH(DATE(YEAR($E$3),MONTH($E$3)+A143*$E$4,1),0)))),$B$6)</f>
        <v/>
      </c>
      <c r="C143" t="inlineStr">
        <is>
          <t>проценты, тело</t>
        </is>
      </c>
      <c r="D143">
        <f>B143-B142</f>
        <v/>
      </c>
      <c r="E143" s="11">
        <f>IF(YEAR(B142)=YEAR(B143),(B143-B142)/(DATE(YEAR(B142)+1,1,1)-DATE(YEAR(B142),1,1)),(DATE(YEAR(B142)+1,1,1)-B142)/(DATE(YEAR(B142)+1,1,1)-DATE(YEAR(B142),1,1))+(B143-DATE(YEAR(B143),1,1))/(DATE(YEAR(B143)+1,1,1)-DATE(YEAR(B143),1,1))+YEAR(B143)-YEAR(B142)-1)</f>
        <v/>
      </c>
      <c r="F143" s="8">
        <f>K142</f>
        <v/>
      </c>
      <c r="G143" s="7">
        <f>$B$10</f>
        <v/>
      </c>
      <c r="H143" s="8">
        <f>F143*G143*E143</f>
        <v/>
      </c>
      <c r="I143" s="8">
        <f>SUM(H143:H143)</f>
        <v/>
      </c>
      <c r="J143" s="8">
        <f>$B$7/$B$13</f>
        <v/>
      </c>
      <c r="K143" s="8">
        <f>F143-J143</f>
        <v/>
      </c>
    </row>
    <row r="144">
      <c r="A144" t="n">
        <v>148</v>
      </c>
      <c r="B144" s="10">
        <f>MIN(DATE(YEAR($E$3),MONTH($E$3)+A144*$E$4,MIN($E$5,DAY(EOMONTH(DATE(YEAR($E$3),MONTH($E$3)+A144*$E$4,1),0)))),$B$6)</f>
        <v/>
      </c>
      <c r="C144" t="inlineStr">
        <is>
          <t>проценты, тело</t>
        </is>
      </c>
      <c r="D144">
        <f>B144-B143</f>
        <v/>
      </c>
      <c r="E144" s="11">
        <f>IF(YEAR(B143)=YEAR(B144),(B144-B143)/(DATE(YEAR(B143)+1,1,1)-DATE(YEAR(B143),1,1)),(DATE(YEAR(B143)+1,1,1)-B143)/(DATE(YEAR(B143)+1,1,1)-DATE(YEAR(B143),1,1))+(B144-DATE(YEAR(B144),1,1))/(DATE(YEAR(B144)+1,1,1)-DATE(YEAR(B144),1,1))+YEAR(B144)-YEAR(B143)-1)</f>
        <v/>
      </c>
      <c r="F144" s="8">
        <f>K143</f>
        <v/>
      </c>
      <c r="G144" s="7">
        <f>$B$10</f>
        <v/>
      </c>
      <c r="H144" s="8">
        <f>F144*G144*E144</f>
        <v/>
      </c>
      <c r="I144" s="8">
        <f>SUM(H144:H144)</f>
        <v/>
      </c>
      <c r="J144" s="8">
        <f>$B$7/$B$13</f>
        <v/>
      </c>
      <c r="K144" s="8">
        <f>F144-J144</f>
        <v/>
      </c>
    </row>
    <row r="145">
      <c r="A145" t="n">
        <v>149</v>
      </c>
      <c r="B145" s="10">
        <f>MIN(DATE(YEAR($E$3),MONTH($E$3)+A145*$E$4,MIN($E$5,DAY(EOMONTH(DATE(YEAR($E$3),MONTH($E$3)+A145*$E$4,1),0)))),$B$6)</f>
        <v/>
      </c>
      <c r="C145" t="inlineStr">
        <is>
          <t>проценты, тело</t>
        </is>
      </c>
      <c r="D145">
        <f>B145-B144</f>
        <v/>
      </c>
      <c r="E145" s="11">
        <f>IF(YEAR(B144)=YEAR(B145),(B145-B144)/(DATE(YEAR(B144)+1,1,1)-DATE(YEAR(B144),1,1)),(DATE(YEAR(B144)+1,1,1)-B144)/(DATE(YEAR(B144)+1,1,1)-DATE(YEAR(B144),1,1))+(B145-DATE(YEAR(B145),1,1))/(DATE(YEAR(B145)+1,1,1)-DATE(YEAR(B145),1,1))+YEAR(B145)-YEAR(B144)-1)</f>
        <v/>
      </c>
      <c r="F145" s="8">
        <f>K144</f>
        <v/>
      </c>
      <c r="G145" s="7">
        <f>$B$10</f>
        <v/>
      </c>
      <c r="H145" s="8">
        <f>F145*G145*E145</f>
        <v/>
      </c>
      <c r="I145" s="8">
        <f>SUM(H145:H145)</f>
        <v/>
      </c>
      <c r="J145" s="8">
        <f>$B$7/$B$13</f>
        <v/>
      </c>
      <c r="K145" s="8">
        <f>F145-J145</f>
        <v/>
      </c>
    </row>
    <row r="146">
      <c r="A146" t="n">
        <v>150</v>
      </c>
      <c r="B146" s="10">
        <f>MIN(DATE(YEAR($E$3),MONTH($E$3)+A146*$E$4,MIN($E$5,DAY(EOMONTH(DATE(YEAR($E$3),MONTH($E$3)+A146*$E$4,1),0)))),$B$6)</f>
        <v/>
      </c>
      <c r="C146" t="inlineStr">
        <is>
          <t>проценты, тело</t>
        </is>
      </c>
      <c r="D146">
        <f>B146-B145</f>
        <v/>
      </c>
      <c r="E146" s="11">
        <f>IF(YEAR(B145)=YEAR(B146),(B146-B145)/(DATE(YEAR(B145)+1,1,1)-DATE(YEAR(B145),1,1)),(DATE(YEAR(B145)+1,1,1)-B145)/(DATE(YEAR(B145)+1,1,1)-DATE(YEAR(B145),1,1))+(B146-DATE(YEAR(B146),1,1))/(DATE(YEAR(B146)+1,1,1)-DATE(YEAR(B146),1,1))+YEAR(B146)-YEAR(B145)-1)</f>
        <v/>
      </c>
      <c r="F146" s="8">
        <f>K145</f>
        <v/>
      </c>
      <c r="G146" s="7">
        <f>$B$10</f>
        <v/>
      </c>
      <c r="H146" s="8">
        <f>F146*G146*E146</f>
        <v/>
      </c>
      <c r="I146" s="8">
        <f>SUM(H146:H146)</f>
        <v/>
      </c>
      <c r="J146" s="8">
        <f>$B$7/$B$13</f>
        <v/>
      </c>
      <c r="K146" s="8">
        <f>F146-J146</f>
        <v/>
      </c>
    </row>
    <row r="147">
      <c r="A147" t="n">
        <v>151</v>
      </c>
      <c r="B147" s="10">
        <f>MIN(DATE(YEAR($E$3),MONTH($E$3)+A147*$E$4,MIN($E$5,DAY(EOMONTH(DATE(YEAR($E$3),MONTH($E$3)+A147*$E$4,1),0)))),$B$6)</f>
        <v/>
      </c>
      <c r="C147" t="inlineStr">
        <is>
          <t>проценты, тело</t>
        </is>
      </c>
      <c r="D147">
        <f>B147-B146</f>
        <v/>
      </c>
      <c r="E147" s="11">
        <f>IF(YEAR(B146)=YEAR(B147),(B147-B146)/(DATE(YEAR(B146)+1,1,1)-DATE(YEAR(B146),1,1)),(DATE(YEAR(B146)+1,1,1)-B146)/(DATE(YEAR(B146)+1,1,1)-DATE(YEAR(B146),1,1))+(B147-DATE(YEAR(B147),1,1))/(DATE(YEAR(B147)+1,1,1)-DATE(YEAR(B147),1,1))+YEAR(B147)-YEAR(B146)-1)</f>
        <v/>
      </c>
      <c r="F147" s="8">
        <f>K146</f>
        <v/>
      </c>
      <c r="G147" s="7">
        <f>$B$10</f>
        <v/>
      </c>
      <c r="H147" s="8">
        <f>F147*G147*E147</f>
        <v/>
      </c>
      <c r="I147" s="8">
        <f>SUM(H147:H147)</f>
        <v/>
      </c>
      <c r="J147" s="8">
        <f>$B$7/$B$13</f>
        <v/>
      </c>
      <c r="K147" s="8">
        <f>F147-J147</f>
        <v/>
      </c>
    </row>
    <row r="148">
      <c r="A148" t="n">
        <v>152</v>
      </c>
      <c r="B148" s="10">
        <f>MIN(DATE(YEAR($E$3),MONTH($E$3)+A148*$E$4,MIN($E$5,DAY(EOMONTH(DATE(YEAR($E$3),MONTH($E$3)+A148*$E$4,1),0)))),$B$6)</f>
        <v/>
      </c>
      <c r="C148" t="inlineStr">
        <is>
          <t>проценты, тело</t>
        </is>
      </c>
      <c r="D148">
        <f>B148-B147</f>
        <v/>
      </c>
      <c r="E148" s="11">
        <f>IF(YEAR(B147)=YEAR(B148),(B148-B147)/(DATE(YEAR(B147)+1,1,1)-DATE(YEAR(B147),1,1)),(DATE(YEAR(B147)+1,1,1)-B147)/(DATE(YEAR(B147)+1,1,1)-DATE(YEAR(B147),1,1))+(B148-DATE(YEAR(B148),1,1))/(DATE(YEAR(B148)+1,1,1)-DATE(YEAR(B148),1,1))+YEAR(B148)-YEAR(B147)-1)</f>
        <v/>
      </c>
      <c r="F148" s="8">
        <f>K147</f>
        <v/>
      </c>
      <c r="G148" s="7">
        <f>$B$10</f>
        <v/>
      </c>
      <c r="H148" s="8">
        <f>F148*G148*E148</f>
        <v/>
      </c>
      <c r="I148" s="8">
        <f>SUM(H148:H148)</f>
        <v/>
      </c>
      <c r="J148" s="8">
        <f>$B$7/$B$13</f>
        <v/>
      </c>
      <c r="K148" s="8">
        <f>F148-J148</f>
        <v/>
      </c>
    </row>
    <row r="149">
      <c r="A149" t="n">
        <v>153</v>
      </c>
      <c r="B149" s="10">
        <f>MIN(DATE(YEAR($E$3),MONTH($E$3)+A149*$E$4,MIN($E$5,DAY(EOMONTH(DATE(YEAR($E$3),MONTH($E$3)+A149*$E$4,1),0)))),$B$6)</f>
        <v/>
      </c>
      <c r="C149" t="inlineStr">
        <is>
          <t>проценты, тело</t>
        </is>
      </c>
      <c r="D149">
        <f>B149-B148</f>
        <v/>
      </c>
      <c r="E149" s="11">
        <f>IF(YEAR(B148)=YEAR(B149),(B149-B148)/(DATE(YEAR(B148)+1,1,1)-DATE(YEAR(B148),1,1)),(DATE(YEAR(B148)+1,1,1)-B148)/(DATE(YEAR(B148)+1,1,1)-DATE(YEAR(B148),1,1))+(B149-DATE(YEAR(B149),1,1))/(DATE(YEAR(B149)+1,1,1)-DATE(YEAR(B149),1,1))+YEAR(B149)-YEAR(B148)-1)</f>
        <v/>
      </c>
      <c r="F149" s="8">
        <f>K148</f>
        <v/>
      </c>
      <c r="G149" s="7">
        <f>$B$10</f>
        <v/>
      </c>
      <c r="H149" s="8">
        <f>F149*G149*E149</f>
        <v/>
      </c>
      <c r="I149" s="8">
        <f>SUM(H149:H149)</f>
        <v/>
      </c>
      <c r="J149" s="8">
        <f>$B$7/$B$13</f>
        <v/>
      </c>
      <c r="K149" s="8">
        <f>F149-J149</f>
        <v/>
      </c>
    </row>
    <row r="150">
      <c r="A150" t="n">
        <v>154</v>
      </c>
      <c r="B150" s="10">
        <f>MIN(DATE(YEAR($E$3),MONTH($E$3)+A150*$E$4,MIN($E$5,DAY(EOMONTH(DATE(YEAR($E$3),MONTH($E$3)+A150*$E$4,1),0)))),$B$6)</f>
        <v/>
      </c>
      <c r="C150" t="inlineStr">
        <is>
          <t>проценты, тело</t>
        </is>
      </c>
      <c r="D150">
        <f>B150-B149</f>
        <v/>
      </c>
      <c r="E150" s="11">
        <f>IF(YEAR(B149)=YEAR(B150),(B150-B149)/(DATE(YEAR(B149)+1,1,1)-DATE(YEAR(B149),1,1)),(DATE(YEAR(B149)+1,1,1)-B149)/(DATE(YEAR(B149)+1,1,1)-DATE(YEAR(B149),1,1))+(B150-DATE(YEAR(B150),1,1))/(DATE(YEAR(B150)+1,1,1)-DATE(YEAR(B150),1,1))+YEAR(B150)-YEAR(B149)-1)</f>
        <v/>
      </c>
      <c r="F150" s="8">
        <f>K149</f>
        <v/>
      </c>
      <c r="G150" s="7">
        <f>$B$10</f>
        <v/>
      </c>
      <c r="H150" s="8">
        <f>F150*G150*E150</f>
        <v/>
      </c>
      <c r="I150" s="8">
        <f>SUM(H150:H150)</f>
        <v/>
      </c>
      <c r="J150" s="8">
        <f>$B$7/$B$13</f>
        <v/>
      </c>
      <c r="K150" s="8">
        <f>F150-J150</f>
        <v/>
      </c>
    </row>
    <row r="151">
      <c r="A151" t="n">
        <v>155</v>
      </c>
      <c r="B151" s="10">
        <f>MIN(DATE(YEAR($E$3),MONTH($E$3)+A151*$E$4,MIN($E$5,DAY(EOMONTH(DATE(YEAR($E$3),MONTH($E$3)+A151*$E$4,1),0)))),$B$6)</f>
        <v/>
      </c>
      <c r="C151" t="inlineStr">
        <is>
          <t>проценты, тело</t>
        </is>
      </c>
      <c r="D151">
        <f>B151-B150</f>
        <v/>
      </c>
      <c r="E151" s="11">
        <f>IF(YEAR(B150)=YEAR(B151),(B151-B150)/(DATE(YEAR(B150)+1,1,1)-DATE(YEAR(B150),1,1)),(DATE(YEAR(B150)+1,1,1)-B150)/(DATE(YEAR(B150)+1,1,1)-DATE(YEAR(B150),1,1))+(B151-DATE(YEAR(B151),1,1))/(DATE(YEAR(B151)+1,1,1)-DATE(YEAR(B151),1,1))+YEAR(B151)-YEAR(B150)-1)</f>
        <v/>
      </c>
      <c r="F151" s="8">
        <f>K150</f>
        <v/>
      </c>
      <c r="G151" s="7">
        <f>$B$10</f>
        <v/>
      </c>
      <c r="H151" s="8">
        <f>F151*G151*E151</f>
        <v/>
      </c>
      <c r="I151" s="8">
        <f>SUM(H151:H151)</f>
        <v/>
      </c>
      <c r="J151" s="8">
        <f>$B$7/$B$13</f>
        <v/>
      </c>
      <c r="K151" s="8">
        <f>F151-J151</f>
        <v/>
      </c>
    </row>
    <row r="152">
      <c r="A152" t="n">
        <v>156</v>
      </c>
      <c r="B152" s="10">
        <f>MIN(DATE(YEAR($E$3),MONTH($E$3)+A152*$E$4,MIN($E$5,DAY(EOMONTH(DATE(YEAR($E$3),MONTH($E$3)+A152*$E$4,1),0)))),$B$6)</f>
        <v/>
      </c>
      <c r="C152" t="inlineStr">
        <is>
          <t>проценты, тело</t>
        </is>
      </c>
      <c r="D152">
        <f>B152-B151</f>
        <v/>
      </c>
      <c r="E152" s="11">
        <f>IF(YEAR(B151)=YEAR(B152),(B152-B151)/(DATE(YEAR(B151)+1,1,1)-DATE(YEAR(B151),1,1)),(DATE(YEAR(B151)+1,1,1)-B151)/(DATE(YEAR(B151)+1,1,1)-DATE(YEAR(B151),1,1))+(B152-DATE(YEAR(B152),1,1))/(DATE(YEAR(B152)+1,1,1)-DATE(YEAR(B152),1,1))+YEAR(B152)-YEAR(B151)-1)</f>
        <v/>
      </c>
      <c r="F152" s="8">
        <f>K151</f>
        <v/>
      </c>
      <c r="G152" s="7">
        <f>$B$10</f>
        <v/>
      </c>
      <c r="H152" s="8">
        <f>F152*G152*E152</f>
        <v/>
      </c>
      <c r="I152" s="8">
        <f>SUM(H152:H152)</f>
        <v/>
      </c>
      <c r="J152" s="8">
        <f>$B$7/$B$13</f>
        <v/>
      </c>
      <c r="K152" s="8">
        <f>F152-J152</f>
        <v/>
      </c>
    </row>
    <row r="153">
      <c r="A153" t="n">
        <v>157</v>
      </c>
      <c r="B153" s="10">
        <f>MIN(DATE(YEAR($E$3),MONTH($E$3)+A153*$E$4,MIN($E$5,DAY(EOMONTH(DATE(YEAR($E$3),MONTH($E$3)+A153*$E$4,1),0)))),$B$6)</f>
        <v/>
      </c>
      <c r="C153" t="inlineStr">
        <is>
          <t>проценты, тело</t>
        </is>
      </c>
      <c r="D153">
        <f>B153-B152</f>
        <v/>
      </c>
      <c r="E153" s="11">
        <f>IF(YEAR(B152)=YEAR(B153),(B153-B152)/(DATE(YEAR(B152)+1,1,1)-DATE(YEAR(B152),1,1)),(DATE(YEAR(B152)+1,1,1)-B152)/(DATE(YEAR(B152)+1,1,1)-DATE(YEAR(B152),1,1))+(B153-DATE(YEAR(B153),1,1))/(DATE(YEAR(B153)+1,1,1)-DATE(YEAR(B153),1,1))+YEAR(B153)-YEAR(B152)-1)</f>
        <v/>
      </c>
      <c r="F153" s="8">
        <f>K152</f>
        <v/>
      </c>
      <c r="G153" s="7">
        <f>$B$10</f>
        <v/>
      </c>
      <c r="H153" s="8">
        <f>F153*G153*E153</f>
        <v/>
      </c>
      <c r="I153" s="8">
        <f>SUM(H153:H153)</f>
        <v/>
      </c>
      <c r="J153" s="8">
        <f>$B$7/$B$13</f>
        <v/>
      </c>
      <c r="K153" s="8">
        <f>F153-J153</f>
        <v/>
      </c>
    </row>
    <row r="154">
      <c r="A154" t="n">
        <v>158</v>
      </c>
      <c r="B154" s="10">
        <f>MIN(DATE(YEAR($E$3),MONTH($E$3)+A154*$E$4,MIN($E$5,DAY(EOMONTH(DATE(YEAR($E$3),MONTH($E$3)+A154*$E$4,1),0)))),$B$6)</f>
        <v/>
      </c>
      <c r="C154" t="inlineStr">
        <is>
          <t>проценты, тело</t>
        </is>
      </c>
      <c r="D154">
        <f>B154-B153</f>
        <v/>
      </c>
      <c r="E154" s="11">
        <f>IF(YEAR(B153)=YEAR(B154),(B154-B153)/(DATE(YEAR(B153)+1,1,1)-DATE(YEAR(B153),1,1)),(DATE(YEAR(B153)+1,1,1)-B153)/(DATE(YEAR(B153)+1,1,1)-DATE(YEAR(B153),1,1))+(B154-DATE(YEAR(B154),1,1))/(DATE(YEAR(B154)+1,1,1)-DATE(YEAR(B154),1,1))+YEAR(B154)-YEAR(B153)-1)</f>
        <v/>
      </c>
      <c r="F154" s="8">
        <f>K153</f>
        <v/>
      </c>
      <c r="G154" s="7">
        <f>$B$10</f>
        <v/>
      </c>
      <c r="H154" s="8">
        <f>F154*G154*E154</f>
        <v/>
      </c>
      <c r="I154" s="8">
        <f>SUM(H154:H154)</f>
        <v/>
      </c>
      <c r="J154" s="8">
        <f>$B$7/$B$13</f>
        <v/>
      </c>
      <c r="K154" s="8">
        <f>F154-J154</f>
        <v/>
      </c>
    </row>
    <row r="155">
      <c r="A155" t="n">
        <v>159</v>
      </c>
      <c r="B155" s="10">
        <f>MIN(DATE(YEAR($E$3),MONTH($E$3)+A155*$E$4,MIN($E$5,DAY(EOMONTH(DATE(YEAR($E$3),MONTH($E$3)+A155*$E$4,1),0)))),$B$6)</f>
        <v/>
      </c>
      <c r="C155" t="inlineStr">
        <is>
          <t>проценты, тело</t>
        </is>
      </c>
      <c r="D155">
        <f>B155-B154</f>
        <v/>
      </c>
      <c r="E155" s="11">
        <f>IF(YEAR(B154)=YEAR(B155),(B155-B154)/(DATE(YEAR(B154)+1,1,1)-DATE(YEAR(B154),1,1)),(DATE(YEAR(B154)+1,1,1)-B154)/(DATE(YEAR(B154)+1,1,1)-DATE(YEAR(B154),1,1))+(B155-DATE(YEAR(B155),1,1))/(DATE(YEAR(B155)+1,1,1)-DATE(YEAR(B155),1,1))+YEAR(B155)-YEAR(B154)-1)</f>
        <v/>
      </c>
      <c r="F155" s="8">
        <f>K154</f>
        <v/>
      </c>
      <c r="G155" s="7">
        <f>$B$10</f>
        <v/>
      </c>
      <c r="H155" s="8">
        <f>F155*G155*E155</f>
        <v/>
      </c>
      <c r="I155" s="8">
        <f>SUM(H155:H155)</f>
        <v/>
      </c>
      <c r="J155" s="8">
        <f>$B$7/$B$13</f>
        <v/>
      </c>
      <c r="K155" s="8">
        <f>F155-J155</f>
        <v/>
      </c>
    </row>
    <row r="156">
      <c r="A156" t="n">
        <v>160</v>
      </c>
      <c r="B156" s="10">
        <f>MIN(DATE(YEAR($E$3),MONTH($E$3)+A156*$E$4,MIN($E$5,DAY(EOMONTH(DATE(YEAR($E$3),MONTH($E$3)+A156*$E$4,1),0)))),$B$6)</f>
        <v/>
      </c>
      <c r="C156" t="inlineStr">
        <is>
          <t>проценты, тело</t>
        </is>
      </c>
      <c r="D156">
        <f>B156-B155</f>
        <v/>
      </c>
      <c r="E156" s="11">
        <f>IF(YEAR(B155)=YEAR(B156),(B156-B155)/(DATE(YEAR(B155)+1,1,1)-DATE(YEAR(B155),1,1)),(DATE(YEAR(B155)+1,1,1)-B155)/(DATE(YEAR(B155)+1,1,1)-DATE(YEAR(B155),1,1))+(B156-DATE(YEAR(B156),1,1))/(DATE(YEAR(B156)+1,1,1)-DATE(YEAR(B156),1,1))+YEAR(B156)-YEAR(B155)-1)</f>
        <v/>
      </c>
      <c r="F156" s="8">
        <f>K155</f>
        <v/>
      </c>
      <c r="G156" s="7">
        <f>$B$10</f>
        <v/>
      </c>
      <c r="H156" s="8">
        <f>F156*G156*E156</f>
        <v/>
      </c>
      <c r="I156" s="8">
        <f>SUM(H156:H156)</f>
        <v/>
      </c>
      <c r="J156" s="8">
        <f>$B$7/$B$13</f>
        <v/>
      </c>
      <c r="K156" s="8">
        <f>F156-J156</f>
        <v/>
      </c>
    </row>
    <row r="157">
      <c r="A157" t="n">
        <v>161</v>
      </c>
      <c r="B157" s="10">
        <f>MIN(DATE(YEAR($E$3),MONTH($E$3)+A157*$E$4,MIN($E$5,DAY(EOMONTH(DATE(YEAR($E$3),MONTH($E$3)+A157*$E$4,1),0)))),$B$6)</f>
        <v/>
      </c>
      <c r="C157" t="inlineStr">
        <is>
          <t>проценты, тело</t>
        </is>
      </c>
      <c r="D157">
        <f>B157-B156</f>
        <v/>
      </c>
      <c r="E157" s="11">
        <f>IF(YEAR(B156)=YEAR(B157),(B157-B156)/(DATE(YEAR(B156)+1,1,1)-DATE(YEAR(B156),1,1)),(DATE(YEAR(B156)+1,1,1)-B156)/(DATE(YEAR(B156)+1,1,1)-DATE(YEAR(B156),1,1))+(B157-DATE(YEAR(B157),1,1))/(DATE(YEAR(B157)+1,1,1)-DATE(YEAR(B157),1,1))+YEAR(B157)-YEAR(B156)-1)</f>
        <v/>
      </c>
      <c r="F157" s="8">
        <f>K156</f>
        <v/>
      </c>
      <c r="G157" s="7">
        <f>$B$10</f>
        <v/>
      </c>
      <c r="H157" s="8">
        <f>F157*G157*E157</f>
        <v/>
      </c>
      <c r="I157" s="8">
        <f>SUM(H157:H157)</f>
        <v/>
      </c>
      <c r="J157" s="8">
        <f>$B$7/$B$13</f>
        <v/>
      </c>
      <c r="K157" s="8">
        <f>F157-J157</f>
        <v/>
      </c>
    </row>
    <row r="158">
      <c r="A158" t="n">
        <v>162</v>
      </c>
      <c r="B158" s="10">
        <f>MIN(DATE(YEAR($E$3),MONTH($E$3)+A158*$E$4,MIN($E$5,DAY(EOMONTH(DATE(YEAR($E$3),MONTH($E$3)+A158*$E$4,1),0)))),$B$6)</f>
        <v/>
      </c>
      <c r="C158" t="inlineStr">
        <is>
          <t>проценты, тело</t>
        </is>
      </c>
      <c r="D158">
        <f>B158-B157</f>
        <v/>
      </c>
      <c r="E158" s="11">
        <f>IF(YEAR(B157)=YEAR(B158),(B158-B157)/(DATE(YEAR(B157)+1,1,1)-DATE(YEAR(B157),1,1)),(DATE(YEAR(B157)+1,1,1)-B157)/(DATE(YEAR(B157)+1,1,1)-DATE(YEAR(B157),1,1))+(B158-DATE(YEAR(B158),1,1))/(DATE(YEAR(B158)+1,1,1)-DATE(YEAR(B158),1,1))+YEAR(B158)-YEAR(B157)-1)</f>
        <v/>
      </c>
      <c r="F158" s="8">
        <f>K157</f>
        <v/>
      </c>
      <c r="G158" s="7">
        <f>$B$10</f>
        <v/>
      </c>
      <c r="H158" s="8">
        <f>F158*G158*E158</f>
        <v/>
      </c>
      <c r="I158" s="8">
        <f>SUM(H158:H158)</f>
        <v/>
      </c>
      <c r="J158" s="8">
        <f>$B$7/$B$13</f>
        <v/>
      </c>
      <c r="K158" s="8">
        <f>F158-J158</f>
        <v/>
      </c>
    </row>
    <row r="159">
      <c r="A159" t="n">
        <v>163</v>
      </c>
      <c r="B159" s="10">
        <f>MIN(DATE(YEAR($E$3),MONTH($E$3)+A159*$E$4,MIN($E$5,DAY(EOMONTH(DATE(YEAR($E$3),MONTH($E$3)+A159*$E$4,1),0)))),$B$6)</f>
        <v/>
      </c>
      <c r="C159" t="inlineStr">
        <is>
          <t>проценты, тело</t>
        </is>
      </c>
      <c r="D159">
        <f>B159-B158</f>
        <v/>
      </c>
      <c r="E159" s="11">
        <f>IF(YEAR(B158)=YEAR(B159),(B159-B158)/(DATE(YEAR(B158)+1,1,1)-DATE(YEAR(B158),1,1)),(DATE(YEAR(B158)+1,1,1)-B158)/(DATE(YEAR(B158)+1,1,1)-DATE(YEAR(B158),1,1))+(B159-DATE(YEAR(B159),1,1))/(DATE(YEAR(B159)+1,1,1)-DATE(YEAR(B159),1,1))+YEAR(B159)-YEAR(B158)-1)</f>
        <v/>
      </c>
      <c r="F159" s="8">
        <f>K158</f>
        <v/>
      </c>
      <c r="G159" s="7">
        <f>$B$10</f>
        <v/>
      </c>
      <c r="H159" s="8">
        <f>F159*G159*E159</f>
        <v/>
      </c>
      <c r="I159" s="8">
        <f>SUM(H159:H159)</f>
        <v/>
      </c>
      <c r="J159" s="8">
        <f>$B$7/$B$13</f>
        <v/>
      </c>
      <c r="K159" s="8">
        <f>F159-J159</f>
        <v/>
      </c>
    </row>
    <row r="160">
      <c r="A160" t="n">
        <v>164</v>
      </c>
      <c r="B160" s="10">
        <f>MIN(DATE(YEAR($E$3),MONTH($E$3)+A160*$E$4,MIN($E$5,DAY(EOMONTH(DATE(YEAR($E$3),MONTH($E$3)+A160*$E$4,1),0)))),$B$6)</f>
        <v/>
      </c>
      <c r="C160" t="inlineStr">
        <is>
          <t>проценты, тело</t>
        </is>
      </c>
      <c r="D160">
        <f>B160-B159</f>
        <v/>
      </c>
      <c r="E160" s="11">
        <f>IF(YEAR(B159)=YEAR(B160),(B160-B159)/(DATE(YEAR(B159)+1,1,1)-DATE(YEAR(B159),1,1)),(DATE(YEAR(B159)+1,1,1)-B159)/(DATE(YEAR(B159)+1,1,1)-DATE(YEAR(B159),1,1))+(B160-DATE(YEAR(B160),1,1))/(DATE(YEAR(B160)+1,1,1)-DATE(YEAR(B160),1,1))+YEAR(B160)-YEAR(B159)-1)</f>
        <v/>
      </c>
      <c r="F160" s="8">
        <f>K159</f>
        <v/>
      </c>
      <c r="G160" s="7">
        <f>$B$10</f>
        <v/>
      </c>
      <c r="H160" s="8">
        <f>F160*G160*E160</f>
        <v/>
      </c>
      <c r="I160" s="8">
        <f>SUM(H160:H160)</f>
        <v/>
      </c>
      <c r="J160" s="8">
        <f>$B$7/$B$13</f>
        <v/>
      </c>
      <c r="K160" s="8">
        <f>F160-J160</f>
        <v/>
      </c>
    </row>
    <row r="161">
      <c r="A161" t="n">
        <v>165</v>
      </c>
      <c r="B161" s="10">
        <f>MIN(DATE(YEAR($E$3),MONTH($E$3)+A161*$E$4,MIN($E$5,DAY(EOMONTH(DATE(YEAR($E$3),MONTH($E$3)+A161*$E$4,1),0)))),$B$6)</f>
        <v/>
      </c>
      <c r="C161" t="inlineStr">
        <is>
          <t>проценты, тело</t>
        </is>
      </c>
      <c r="D161">
        <f>B161-B160</f>
        <v/>
      </c>
      <c r="E161" s="11">
        <f>IF(YEAR(B160)=YEAR(B161),(B161-B160)/(DATE(YEAR(B160)+1,1,1)-DATE(YEAR(B160),1,1)),(DATE(YEAR(B160)+1,1,1)-B160)/(DATE(YEAR(B160)+1,1,1)-DATE(YEAR(B160),1,1))+(B161-DATE(YEAR(B161),1,1))/(DATE(YEAR(B161)+1,1,1)-DATE(YEAR(B161),1,1))+YEAR(B161)-YEAR(B160)-1)</f>
        <v/>
      </c>
      <c r="F161" s="8">
        <f>K160</f>
        <v/>
      </c>
      <c r="G161" s="7">
        <f>$B$10</f>
        <v/>
      </c>
      <c r="H161" s="8">
        <f>F161*G161*E161</f>
        <v/>
      </c>
      <c r="I161" s="8">
        <f>SUM(H161:H161)</f>
        <v/>
      </c>
      <c r="J161" s="8">
        <f>$B$7/$B$13</f>
        <v/>
      </c>
      <c r="K161" s="8">
        <f>F161-J161</f>
        <v/>
      </c>
    </row>
    <row r="162">
      <c r="A162" t="n">
        <v>166</v>
      </c>
      <c r="B162" s="10">
        <f>MIN(DATE(YEAR($E$3),MONTH($E$3)+A162*$E$4,MIN($E$5,DAY(EOMONTH(DATE(YEAR($E$3),MONTH($E$3)+A162*$E$4,1),0)))),$B$6)</f>
        <v/>
      </c>
      <c r="C162" t="inlineStr">
        <is>
          <t>проценты, тело</t>
        </is>
      </c>
      <c r="D162">
        <f>B162-B161</f>
        <v/>
      </c>
      <c r="E162" s="11">
        <f>IF(YEAR(B161)=YEAR(B162),(B162-B161)/(DATE(YEAR(B161)+1,1,1)-DATE(YEAR(B161),1,1)),(DATE(YEAR(B161)+1,1,1)-B161)/(DATE(YEAR(B161)+1,1,1)-DATE(YEAR(B161),1,1))+(B162-DATE(YEAR(B162),1,1))/(DATE(YEAR(B162)+1,1,1)-DATE(YEAR(B162),1,1))+YEAR(B162)-YEAR(B161)-1)</f>
        <v/>
      </c>
      <c r="F162" s="8">
        <f>K161</f>
        <v/>
      </c>
      <c r="G162" s="7">
        <f>$B$10</f>
        <v/>
      </c>
      <c r="H162" s="8">
        <f>F162*G162*E162</f>
        <v/>
      </c>
      <c r="I162" s="8">
        <f>SUM(H162:H162)</f>
        <v/>
      </c>
      <c r="J162" s="8">
        <f>$B$7/$B$13</f>
        <v/>
      </c>
      <c r="K162" s="8">
        <f>F162-J162</f>
        <v/>
      </c>
    </row>
    <row r="163">
      <c r="A163" t="n">
        <v>167</v>
      </c>
      <c r="B163" s="10">
        <f>MIN(DATE(YEAR($E$3),MONTH($E$3)+A163*$E$4,MIN($E$5,DAY(EOMONTH(DATE(YEAR($E$3),MONTH($E$3)+A163*$E$4,1),0)))),$B$6)</f>
        <v/>
      </c>
      <c r="C163" t="inlineStr">
        <is>
          <t>проценты, тело</t>
        </is>
      </c>
      <c r="D163">
        <f>B163-B162</f>
        <v/>
      </c>
      <c r="E163" s="11">
        <f>IF(YEAR(B162)=YEAR(B163),(B163-B162)/(DATE(YEAR(B162)+1,1,1)-DATE(YEAR(B162),1,1)),(DATE(YEAR(B162)+1,1,1)-B162)/(DATE(YEAR(B162)+1,1,1)-DATE(YEAR(B162),1,1))+(B163-DATE(YEAR(B163),1,1))/(DATE(YEAR(B163)+1,1,1)-DATE(YEAR(B163),1,1))+YEAR(B163)-YEAR(B162)-1)</f>
        <v/>
      </c>
      <c r="F163" s="8">
        <f>K162</f>
        <v/>
      </c>
      <c r="G163" s="7">
        <f>$B$10</f>
        <v/>
      </c>
      <c r="H163" s="8">
        <f>F163*G163*E163</f>
        <v/>
      </c>
      <c r="I163" s="8">
        <f>SUM(H163:H163)</f>
        <v/>
      </c>
      <c r="J163" s="8">
        <f>$B$7/$B$13</f>
        <v/>
      </c>
      <c r="K163" s="8">
        <f>F163-J163</f>
        <v/>
      </c>
    </row>
    <row r="164">
      <c r="A164" t="n">
        <v>168</v>
      </c>
      <c r="B164" s="10">
        <f>MIN(DATE(YEAR($E$3),MONTH($E$3)+A164*$E$4,MIN($E$5,DAY(EOMONTH(DATE(YEAR($E$3),MONTH($E$3)+A164*$E$4,1),0)))),$B$6)</f>
        <v/>
      </c>
      <c r="C164" t="inlineStr">
        <is>
          <t>проценты, тело</t>
        </is>
      </c>
      <c r="D164">
        <f>B164-B163</f>
        <v/>
      </c>
      <c r="E164" s="11">
        <f>IF(YEAR(B163)=YEAR(B164),(B164-B163)/(DATE(YEAR(B163)+1,1,1)-DATE(YEAR(B163),1,1)),(DATE(YEAR(B163)+1,1,1)-B163)/(DATE(YEAR(B163)+1,1,1)-DATE(YEAR(B163),1,1))+(B164-DATE(YEAR(B164),1,1))/(DATE(YEAR(B164)+1,1,1)-DATE(YEAR(B164),1,1))+YEAR(B164)-YEAR(B163)-1)</f>
        <v/>
      </c>
      <c r="F164" s="8">
        <f>K163</f>
        <v/>
      </c>
      <c r="G164" s="7">
        <f>$B$10</f>
        <v/>
      </c>
      <c r="H164" s="8">
        <f>F164*G164*E164</f>
        <v/>
      </c>
      <c r="I164" s="8">
        <f>SUM(H164:H164)</f>
        <v/>
      </c>
      <c r="J164" s="8">
        <f>$B$7/$B$13</f>
        <v/>
      </c>
      <c r="K164" s="8">
        <f>F164-J164</f>
        <v/>
      </c>
    </row>
    <row r="165">
      <c r="A165" t="n">
        <v>169</v>
      </c>
      <c r="B165" s="10">
        <f>MIN(DATE(YEAR($E$3),MONTH($E$3)+A165*$E$4,MIN($E$5,DAY(EOMONTH(DATE(YEAR($E$3),MONTH($E$3)+A165*$E$4,1),0)))),$B$6)</f>
        <v/>
      </c>
      <c r="C165" t="inlineStr">
        <is>
          <t>проценты, тело</t>
        </is>
      </c>
      <c r="D165">
        <f>B165-B164</f>
        <v/>
      </c>
      <c r="E165" s="11">
        <f>IF(YEAR(B164)=YEAR(B165),(B165-B164)/(DATE(YEAR(B164)+1,1,1)-DATE(YEAR(B164),1,1)),(DATE(YEAR(B164)+1,1,1)-B164)/(DATE(YEAR(B164)+1,1,1)-DATE(YEAR(B164),1,1))+(B165-DATE(YEAR(B165),1,1))/(DATE(YEAR(B165)+1,1,1)-DATE(YEAR(B165),1,1))+YEAR(B165)-YEAR(B164)-1)</f>
        <v/>
      </c>
      <c r="F165" s="8">
        <f>K164</f>
        <v/>
      </c>
      <c r="G165" s="7">
        <f>$B$10</f>
        <v/>
      </c>
      <c r="H165" s="8">
        <f>F165*G165*E165</f>
        <v/>
      </c>
      <c r="I165" s="8">
        <f>SUM(H165:H165)</f>
        <v/>
      </c>
      <c r="J165" s="8">
        <f>$B$7/$B$13</f>
        <v/>
      </c>
      <c r="K165" s="8">
        <f>F165-J165</f>
        <v/>
      </c>
    </row>
    <row r="166">
      <c r="A166" t="n">
        <v>170</v>
      </c>
      <c r="B166" s="10">
        <f>MIN(DATE(YEAR($E$3),MONTH($E$3)+A166*$E$4,MIN($E$5,DAY(EOMONTH(DATE(YEAR($E$3),MONTH($E$3)+A166*$E$4,1),0)))),$B$6)</f>
        <v/>
      </c>
      <c r="C166" t="inlineStr">
        <is>
          <t>проценты, тело</t>
        </is>
      </c>
      <c r="D166">
        <f>B166-B165</f>
        <v/>
      </c>
      <c r="E166" s="11">
        <f>IF(YEAR(B165)=YEAR(B166),(B166-B165)/(DATE(YEAR(B165)+1,1,1)-DATE(YEAR(B165),1,1)),(DATE(YEAR(B165)+1,1,1)-B165)/(DATE(YEAR(B165)+1,1,1)-DATE(YEAR(B165),1,1))+(B166-DATE(YEAR(B166),1,1))/(DATE(YEAR(B166)+1,1,1)-DATE(YEAR(B166),1,1))+YEAR(B166)-YEAR(B165)-1)</f>
        <v/>
      </c>
      <c r="F166" s="8">
        <f>K165</f>
        <v/>
      </c>
      <c r="G166" s="7">
        <f>$B$10</f>
        <v/>
      </c>
      <c r="H166" s="8">
        <f>F166*G166*E166</f>
        <v/>
      </c>
      <c r="I166" s="8">
        <f>SUM(H166:H166)</f>
        <v/>
      </c>
      <c r="J166" s="8">
        <f>$B$7/$B$13</f>
        <v/>
      </c>
      <c r="K166" s="8">
        <f>F166-J166</f>
        <v/>
      </c>
    </row>
    <row r="167">
      <c r="A167" t="n">
        <v>171</v>
      </c>
      <c r="B167" s="10">
        <f>MIN(DATE(YEAR($E$3),MONTH($E$3)+A167*$E$4,MIN($E$5,DAY(EOMONTH(DATE(YEAR($E$3),MONTH($E$3)+A167*$E$4,1),0)))),$B$6)</f>
        <v/>
      </c>
      <c r="C167" t="inlineStr">
        <is>
          <t>проценты, тело</t>
        </is>
      </c>
      <c r="D167">
        <f>B167-B166</f>
        <v/>
      </c>
      <c r="E167" s="11">
        <f>IF(YEAR(B166)=YEAR(B167),(B167-B166)/(DATE(YEAR(B166)+1,1,1)-DATE(YEAR(B166),1,1)),(DATE(YEAR(B166)+1,1,1)-B166)/(DATE(YEAR(B166)+1,1,1)-DATE(YEAR(B166),1,1))+(B167-DATE(YEAR(B167),1,1))/(DATE(YEAR(B167)+1,1,1)-DATE(YEAR(B167),1,1))+YEAR(B167)-YEAR(B166)-1)</f>
        <v/>
      </c>
      <c r="F167" s="8">
        <f>K166</f>
        <v/>
      </c>
      <c r="G167" s="7">
        <f>$B$10</f>
        <v/>
      </c>
      <c r="H167" s="8">
        <f>F167*G167*E167</f>
        <v/>
      </c>
      <c r="I167" s="8">
        <f>SUM(H167:H167)</f>
        <v/>
      </c>
      <c r="J167" s="8">
        <f>$B$7/$B$13</f>
        <v/>
      </c>
      <c r="K167" s="8">
        <f>F167-J167</f>
        <v/>
      </c>
    </row>
    <row r="168">
      <c r="A168" t="n">
        <v>172</v>
      </c>
      <c r="B168" s="10">
        <f>MIN(DATE(YEAR($E$3),MONTH($E$3)+A168*$E$4,MIN($E$5,DAY(EOMONTH(DATE(YEAR($E$3),MONTH($E$3)+A168*$E$4,1),0)))),$B$6)</f>
        <v/>
      </c>
      <c r="C168" t="inlineStr">
        <is>
          <t>проценты, тело</t>
        </is>
      </c>
      <c r="D168">
        <f>B168-B167</f>
        <v/>
      </c>
      <c r="E168" s="11">
        <f>IF(YEAR(B167)=YEAR(B168),(B168-B167)/(DATE(YEAR(B167)+1,1,1)-DATE(YEAR(B167),1,1)),(DATE(YEAR(B167)+1,1,1)-B167)/(DATE(YEAR(B167)+1,1,1)-DATE(YEAR(B167),1,1))+(B168-DATE(YEAR(B168),1,1))/(DATE(YEAR(B168)+1,1,1)-DATE(YEAR(B168),1,1))+YEAR(B168)-YEAR(B167)-1)</f>
        <v/>
      </c>
      <c r="F168" s="8">
        <f>K167</f>
        <v/>
      </c>
      <c r="G168" s="7">
        <f>$B$10</f>
        <v/>
      </c>
      <c r="H168" s="8">
        <f>F168*G168*E168</f>
        <v/>
      </c>
      <c r="I168" s="8">
        <f>SUM(H168:H168)</f>
        <v/>
      </c>
      <c r="J168" s="8">
        <f>$B$7/$B$13</f>
        <v/>
      </c>
      <c r="K168" s="8">
        <f>F168-J168</f>
        <v/>
      </c>
    </row>
    <row r="169">
      <c r="A169" t="n">
        <v>173</v>
      </c>
      <c r="B169" s="10">
        <f>MIN(DATE(YEAR($E$3),MONTH($E$3)+A169*$E$4,MIN($E$5,DAY(EOMONTH(DATE(YEAR($E$3),MONTH($E$3)+A169*$E$4,1),0)))),$B$6)</f>
        <v/>
      </c>
      <c r="C169" t="inlineStr">
        <is>
          <t>проценты, тело</t>
        </is>
      </c>
      <c r="D169">
        <f>B169-B168</f>
        <v/>
      </c>
      <c r="E169" s="11">
        <f>IF(YEAR(B168)=YEAR(B169),(B169-B168)/(DATE(YEAR(B168)+1,1,1)-DATE(YEAR(B168),1,1)),(DATE(YEAR(B168)+1,1,1)-B168)/(DATE(YEAR(B168)+1,1,1)-DATE(YEAR(B168),1,1))+(B169-DATE(YEAR(B169),1,1))/(DATE(YEAR(B169)+1,1,1)-DATE(YEAR(B169),1,1))+YEAR(B169)-YEAR(B168)-1)</f>
        <v/>
      </c>
      <c r="F169" s="8">
        <f>K168</f>
        <v/>
      </c>
      <c r="G169" s="7">
        <f>$B$10</f>
        <v/>
      </c>
      <c r="H169" s="8">
        <f>F169*G169*E169</f>
        <v/>
      </c>
      <c r="I169" s="8">
        <f>SUM(H169:H169)</f>
        <v/>
      </c>
      <c r="J169" s="8">
        <f>$B$7/$B$13</f>
        <v/>
      </c>
      <c r="K169" s="8">
        <f>F169-J169</f>
        <v/>
      </c>
    </row>
    <row r="170">
      <c r="A170" t="n">
        <v>174</v>
      </c>
      <c r="B170" s="10">
        <f>MIN(DATE(YEAR($E$3),MONTH($E$3)+A170*$E$4,MIN($E$5,DAY(EOMONTH(DATE(YEAR($E$3),MONTH($E$3)+A170*$E$4,1),0)))),$B$6)</f>
        <v/>
      </c>
      <c r="C170" t="inlineStr">
        <is>
          <t>проценты, тело</t>
        </is>
      </c>
      <c r="D170">
        <f>B170-B169</f>
        <v/>
      </c>
      <c r="E170" s="11">
        <f>IF(YEAR(B169)=YEAR(B170),(B170-B169)/(DATE(YEAR(B169)+1,1,1)-DATE(YEAR(B169),1,1)),(DATE(YEAR(B169)+1,1,1)-B169)/(DATE(YEAR(B169)+1,1,1)-DATE(YEAR(B169),1,1))+(B170-DATE(YEAR(B170),1,1))/(DATE(YEAR(B170)+1,1,1)-DATE(YEAR(B170),1,1))+YEAR(B170)-YEAR(B169)-1)</f>
        <v/>
      </c>
      <c r="F170" s="8">
        <f>K169</f>
        <v/>
      </c>
      <c r="G170" s="7">
        <f>$B$10</f>
        <v/>
      </c>
      <c r="H170" s="8">
        <f>F170*G170*E170</f>
        <v/>
      </c>
      <c r="I170" s="8">
        <f>SUM(H170:H170)</f>
        <v/>
      </c>
      <c r="J170" s="8">
        <f>$B$7/$B$13</f>
        <v/>
      </c>
      <c r="K170" s="8">
        <f>F170-J170</f>
        <v/>
      </c>
    </row>
    <row r="171">
      <c r="A171" t="n">
        <v>175</v>
      </c>
      <c r="B171" s="10">
        <f>MIN(DATE(YEAR($E$3),MONTH($E$3)+A171*$E$4,MIN($E$5,DAY(EOMONTH(DATE(YEAR($E$3),MONTH($E$3)+A171*$E$4,1),0)))),$B$6)</f>
        <v/>
      </c>
      <c r="C171" t="inlineStr">
        <is>
          <t>проценты, тело</t>
        </is>
      </c>
      <c r="D171">
        <f>B171-B170</f>
        <v/>
      </c>
      <c r="E171" s="11">
        <f>IF(YEAR(B170)=YEAR(B171),(B171-B170)/(DATE(YEAR(B170)+1,1,1)-DATE(YEAR(B170),1,1)),(DATE(YEAR(B170)+1,1,1)-B170)/(DATE(YEAR(B170)+1,1,1)-DATE(YEAR(B170),1,1))+(B171-DATE(YEAR(B171),1,1))/(DATE(YEAR(B171)+1,1,1)-DATE(YEAR(B171),1,1))+YEAR(B171)-YEAR(B170)-1)</f>
        <v/>
      </c>
      <c r="F171" s="8">
        <f>K170</f>
        <v/>
      </c>
      <c r="G171" s="7">
        <f>$B$10</f>
        <v/>
      </c>
      <c r="H171" s="8">
        <f>F171*G171*E171</f>
        <v/>
      </c>
      <c r="I171" s="8">
        <f>SUM(H171:H171)</f>
        <v/>
      </c>
      <c r="J171" s="8">
        <f>$B$7/$B$13</f>
        <v/>
      </c>
      <c r="K171" s="8">
        <f>F171-J171</f>
        <v/>
      </c>
    </row>
    <row r="172">
      <c r="A172" t="n">
        <v>176</v>
      </c>
      <c r="B172" s="10">
        <f>MIN(DATE(YEAR($E$3),MONTH($E$3)+A172*$E$4,MIN($E$5,DAY(EOMONTH(DATE(YEAR($E$3),MONTH($E$3)+A172*$E$4,1),0)))),$B$6)</f>
        <v/>
      </c>
      <c r="C172" t="inlineStr">
        <is>
          <t>проценты, тело</t>
        </is>
      </c>
      <c r="D172">
        <f>B172-B171</f>
        <v/>
      </c>
      <c r="E172" s="11">
        <f>IF(YEAR(B171)=YEAR(B172),(B172-B171)/(DATE(YEAR(B171)+1,1,1)-DATE(YEAR(B171),1,1)),(DATE(YEAR(B171)+1,1,1)-B171)/(DATE(YEAR(B171)+1,1,1)-DATE(YEAR(B171),1,1))+(B172-DATE(YEAR(B172),1,1))/(DATE(YEAR(B172)+1,1,1)-DATE(YEAR(B172),1,1))+YEAR(B172)-YEAR(B171)-1)</f>
        <v/>
      </c>
      <c r="F172" s="8">
        <f>K171</f>
        <v/>
      </c>
      <c r="G172" s="7">
        <f>$B$10</f>
        <v/>
      </c>
      <c r="H172" s="8">
        <f>F172*G172*E172</f>
        <v/>
      </c>
      <c r="I172" s="8">
        <f>SUM(H172:H172)</f>
        <v/>
      </c>
      <c r="J172" s="8">
        <f>$B$7/$B$13</f>
        <v/>
      </c>
      <c r="K172" s="8">
        <f>F172-J172</f>
        <v/>
      </c>
    </row>
    <row r="173">
      <c r="A173" t="n">
        <v>177</v>
      </c>
      <c r="B173" s="10">
        <f>MIN(DATE(YEAR($E$3),MONTH($E$3)+A173*$E$4,MIN($E$5,DAY(EOMONTH(DATE(YEAR($E$3),MONTH($E$3)+A173*$E$4,1),0)))),$B$6)</f>
        <v/>
      </c>
      <c r="C173" t="inlineStr">
        <is>
          <t>проценты, тело</t>
        </is>
      </c>
      <c r="D173">
        <f>B173-B172</f>
        <v/>
      </c>
      <c r="E173" s="11">
        <f>IF(YEAR(B172)=YEAR(B173),(B173-B172)/(DATE(YEAR(B172)+1,1,1)-DATE(YEAR(B172),1,1)),(DATE(YEAR(B172)+1,1,1)-B172)/(DATE(YEAR(B172)+1,1,1)-DATE(YEAR(B172),1,1))+(B173-DATE(YEAR(B173),1,1))/(DATE(YEAR(B173)+1,1,1)-DATE(YEAR(B173),1,1))+YEAR(B173)-YEAR(B172)-1)</f>
        <v/>
      </c>
      <c r="F173" s="8">
        <f>K172</f>
        <v/>
      </c>
      <c r="G173" s="7">
        <f>$B$10</f>
        <v/>
      </c>
      <c r="H173" s="8">
        <f>F173*G173*E173</f>
        <v/>
      </c>
      <c r="I173" s="8">
        <f>SUM(H173:H173)</f>
        <v/>
      </c>
      <c r="J173" s="8">
        <f>$B$7/$B$13</f>
        <v/>
      </c>
      <c r="K173" s="8">
        <f>F173-J173</f>
        <v/>
      </c>
    </row>
    <row r="174">
      <c r="A174" t="n">
        <v>178</v>
      </c>
      <c r="B174" s="10">
        <f>MIN(DATE(YEAR($E$3),MONTH($E$3)+A174*$E$4,MIN($E$5,DAY(EOMONTH(DATE(YEAR($E$3),MONTH($E$3)+A174*$E$4,1),0)))),$B$6)</f>
        <v/>
      </c>
      <c r="C174" t="inlineStr">
        <is>
          <t>проценты, тело</t>
        </is>
      </c>
      <c r="D174">
        <f>B174-B173</f>
        <v/>
      </c>
      <c r="E174" s="11">
        <f>IF(YEAR(B173)=YEAR(B174),(B174-B173)/(DATE(YEAR(B173)+1,1,1)-DATE(YEAR(B173),1,1)),(DATE(YEAR(B173)+1,1,1)-B173)/(DATE(YEAR(B173)+1,1,1)-DATE(YEAR(B173),1,1))+(B174-DATE(YEAR(B174),1,1))/(DATE(YEAR(B174)+1,1,1)-DATE(YEAR(B174),1,1))+YEAR(B174)-YEAR(B173)-1)</f>
        <v/>
      </c>
      <c r="F174" s="8">
        <f>K173</f>
        <v/>
      </c>
      <c r="G174" s="7">
        <f>$B$10</f>
        <v/>
      </c>
      <c r="H174" s="8">
        <f>F174*G174*E174</f>
        <v/>
      </c>
      <c r="I174" s="8">
        <f>SUM(H174:H174)</f>
        <v/>
      </c>
      <c r="J174" s="8">
        <f>$B$7/$B$13</f>
        <v/>
      </c>
      <c r="K174" s="8">
        <f>F174-J174</f>
        <v/>
      </c>
    </row>
    <row r="175">
      <c r="A175" t="n">
        <v>179</v>
      </c>
      <c r="B175" s="10">
        <f>MIN(DATE(YEAR($E$3),MONTH($E$3)+A175*$E$4,MIN($E$5,DAY(EOMONTH(DATE(YEAR($E$3),MONTH($E$3)+A175*$E$4,1),0)))),$B$6)</f>
        <v/>
      </c>
      <c r="C175" t="inlineStr">
        <is>
          <t>проценты, тело</t>
        </is>
      </c>
      <c r="D175">
        <f>B175-B174</f>
        <v/>
      </c>
      <c r="E175" s="11">
        <f>IF(YEAR(B174)=YEAR(B175),(B175-B174)/(DATE(YEAR(B174)+1,1,1)-DATE(YEAR(B174),1,1)),(DATE(YEAR(B174)+1,1,1)-B174)/(DATE(YEAR(B174)+1,1,1)-DATE(YEAR(B174),1,1))+(B175-DATE(YEAR(B175),1,1))/(DATE(YEAR(B175)+1,1,1)-DATE(YEAR(B175),1,1))+YEAR(B175)-YEAR(B174)-1)</f>
        <v/>
      </c>
      <c r="F175" s="8">
        <f>K174</f>
        <v/>
      </c>
      <c r="G175" s="7">
        <f>$B$10</f>
        <v/>
      </c>
      <c r="H175" s="8">
        <f>F175*G175*E175</f>
        <v/>
      </c>
      <c r="I175" s="8">
        <f>SUM(H175:H175)</f>
        <v/>
      </c>
      <c r="J175" s="8">
        <f>$B$7/$B$13</f>
        <v/>
      </c>
      <c r="K175" s="8">
        <f>F175-J175</f>
        <v/>
      </c>
    </row>
    <row r="176">
      <c r="A176" t="n">
        <v>180</v>
      </c>
      <c r="B176" s="10">
        <f>MIN(DATE(YEAR($E$3),MONTH($E$3)+A176*$E$4,MIN($E$5,DAY(EOMONTH(DATE(YEAR($E$3),MONTH($E$3)+A176*$E$4,1),0)))),$B$6)</f>
        <v/>
      </c>
      <c r="C176" t="inlineStr">
        <is>
          <t>проценты, тело</t>
        </is>
      </c>
      <c r="D176">
        <f>B176-B175</f>
        <v/>
      </c>
      <c r="E176" s="11">
        <f>IF(YEAR(B175)=YEAR(B176),(B176-B175)/(DATE(YEAR(B175)+1,1,1)-DATE(YEAR(B175),1,1)),(DATE(YEAR(B175)+1,1,1)-B175)/(DATE(YEAR(B175)+1,1,1)-DATE(YEAR(B175),1,1))+(B176-DATE(YEAR(B176),1,1))/(DATE(YEAR(B176)+1,1,1)-DATE(YEAR(B176),1,1))+YEAR(B176)-YEAR(B175)-1)</f>
        <v/>
      </c>
      <c r="F176" s="8">
        <f>K175</f>
        <v/>
      </c>
      <c r="G176" s="7">
        <f>$B$10</f>
        <v/>
      </c>
      <c r="H176" s="8">
        <f>F176*G176*E176</f>
        <v/>
      </c>
      <c r="I176" s="8">
        <f>SUM(H176:H176)</f>
        <v/>
      </c>
      <c r="J176" s="8">
        <f>$B$7/$B$13</f>
        <v/>
      </c>
      <c r="K176" s="8">
        <f>F176-J176</f>
        <v/>
      </c>
    </row>
    <row r="177">
      <c r="A177" t="n">
        <v>181</v>
      </c>
      <c r="B177" s="10">
        <f>MIN(DATE(YEAR($E$3),MONTH($E$3)+A177*$E$4,MIN($E$5,DAY(EOMONTH(DATE(YEAR($E$3),MONTH($E$3)+A177*$E$4,1),0)))),$B$6)</f>
        <v/>
      </c>
      <c r="C177" t="inlineStr">
        <is>
          <t>проценты, тело</t>
        </is>
      </c>
      <c r="D177">
        <f>B177-B176</f>
        <v/>
      </c>
      <c r="E177" s="11">
        <f>IF(YEAR(B176)=YEAR(B177),(B177-B176)/(DATE(YEAR(B176)+1,1,1)-DATE(YEAR(B176),1,1)),(DATE(YEAR(B176)+1,1,1)-B176)/(DATE(YEAR(B176)+1,1,1)-DATE(YEAR(B176),1,1))+(B177-DATE(YEAR(B177),1,1))/(DATE(YEAR(B177)+1,1,1)-DATE(YEAR(B177),1,1))+YEAR(B177)-YEAR(B176)-1)</f>
        <v/>
      </c>
      <c r="F177" s="8">
        <f>K176</f>
        <v/>
      </c>
      <c r="G177" s="7">
        <f>$B$10</f>
        <v/>
      </c>
      <c r="H177" s="8">
        <f>F177*G177*E177</f>
        <v/>
      </c>
      <c r="I177" s="8">
        <f>SUM(H177:H177)</f>
        <v/>
      </c>
      <c r="J177" s="8">
        <f>$B$7/$B$13</f>
        <v/>
      </c>
      <c r="K177" s="8">
        <f>F177-J177</f>
        <v/>
      </c>
    </row>
    <row r="178">
      <c r="A178" t="n">
        <v>182</v>
      </c>
      <c r="B178" s="10">
        <f>MIN(DATE(YEAR($E$3),MONTH($E$3)+A178*$E$4,MIN($E$5,DAY(EOMONTH(DATE(YEAR($E$3),MONTH($E$3)+A178*$E$4,1),0)))),$B$6)</f>
        <v/>
      </c>
      <c r="C178" t="inlineStr">
        <is>
          <t>проценты, тело</t>
        </is>
      </c>
      <c r="D178">
        <f>B178-B177</f>
        <v/>
      </c>
      <c r="E178" s="11">
        <f>IF(YEAR(B177)=YEAR(B178),(B178-B177)/(DATE(YEAR(B177)+1,1,1)-DATE(YEAR(B177),1,1)),(DATE(YEAR(B177)+1,1,1)-B177)/(DATE(YEAR(B177)+1,1,1)-DATE(YEAR(B177),1,1))+(B178-DATE(YEAR(B178),1,1))/(DATE(YEAR(B178)+1,1,1)-DATE(YEAR(B178),1,1))+YEAR(B178)-YEAR(B177)-1)</f>
        <v/>
      </c>
      <c r="F178" s="8">
        <f>K177</f>
        <v/>
      </c>
      <c r="G178" s="7">
        <f>$B$10</f>
        <v/>
      </c>
      <c r="H178" s="8">
        <f>F178*G178*E178</f>
        <v/>
      </c>
      <c r="I178" s="8">
        <f>SUM(H178:H178)</f>
        <v/>
      </c>
      <c r="J178" s="8">
        <f>$B$7/$B$13</f>
        <v/>
      </c>
      <c r="K178" s="8">
        <f>F178-J178</f>
        <v/>
      </c>
    </row>
    <row r="179">
      <c r="A179" t="n">
        <v>183</v>
      </c>
      <c r="B179" s="10">
        <f>MIN(DATE(YEAR($E$3),MONTH($E$3)+A179*$E$4,MIN($E$5,DAY(EOMONTH(DATE(YEAR($E$3),MONTH($E$3)+A179*$E$4,1),0)))),$B$6)</f>
        <v/>
      </c>
      <c r="C179" t="inlineStr">
        <is>
          <t>проценты, тело</t>
        </is>
      </c>
      <c r="D179">
        <f>B179-B178</f>
        <v/>
      </c>
      <c r="E179" s="11">
        <f>IF(YEAR(B178)=YEAR(B179),(B179-B178)/(DATE(YEAR(B178)+1,1,1)-DATE(YEAR(B178),1,1)),(DATE(YEAR(B178)+1,1,1)-B178)/(DATE(YEAR(B178)+1,1,1)-DATE(YEAR(B178),1,1))+(B179-DATE(YEAR(B179),1,1))/(DATE(YEAR(B179)+1,1,1)-DATE(YEAR(B179),1,1))+YEAR(B179)-YEAR(B178)-1)</f>
        <v/>
      </c>
      <c r="F179" s="8">
        <f>K178</f>
        <v/>
      </c>
      <c r="G179" s="7">
        <f>$B$10</f>
        <v/>
      </c>
      <c r="H179" s="8">
        <f>F179*G179*E179</f>
        <v/>
      </c>
      <c r="I179" s="8">
        <f>SUM(H179:H179)</f>
        <v/>
      </c>
      <c r="J179" s="8">
        <f>$B$7/$B$13</f>
        <v/>
      </c>
      <c r="K179" s="8">
        <f>F179-J179</f>
        <v/>
      </c>
    </row>
    <row r="180">
      <c r="A180" t="n">
        <v>184</v>
      </c>
      <c r="B180" s="10">
        <f>MIN(DATE(YEAR($E$3),MONTH($E$3)+A180*$E$4,MIN($E$5,DAY(EOMONTH(DATE(YEAR($E$3),MONTH($E$3)+A180*$E$4,1),0)))),$B$6)</f>
        <v/>
      </c>
      <c r="C180" t="inlineStr">
        <is>
          <t>проценты, тело</t>
        </is>
      </c>
      <c r="D180">
        <f>B180-B179</f>
        <v/>
      </c>
      <c r="E180" s="11">
        <f>IF(YEAR(B179)=YEAR(B180),(B180-B179)/(DATE(YEAR(B179)+1,1,1)-DATE(YEAR(B179),1,1)),(DATE(YEAR(B179)+1,1,1)-B179)/(DATE(YEAR(B179)+1,1,1)-DATE(YEAR(B179),1,1))+(B180-DATE(YEAR(B180),1,1))/(DATE(YEAR(B180)+1,1,1)-DATE(YEAR(B180),1,1))+YEAR(B180)-YEAR(B179)-1)</f>
        <v/>
      </c>
      <c r="F180" s="8">
        <f>K179</f>
        <v/>
      </c>
      <c r="G180" s="7">
        <f>$B$10</f>
        <v/>
      </c>
      <c r="H180" s="8">
        <f>F180*G180*E180</f>
        <v/>
      </c>
      <c r="I180" s="8">
        <f>SUM(H180:H180)</f>
        <v/>
      </c>
      <c r="J180" s="8">
        <f>$B$7/$B$13</f>
        <v/>
      </c>
      <c r="K180" s="8">
        <f>F180-J180</f>
        <v/>
      </c>
    </row>
    <row r="181">
      <c r="A181" t="n">
        <v>185</v>
      </c>
      <c r="B181" s="10">
        <f>MIN(DATE(YEAR($E$3),MONTH($E$3)+A181*$E$4,MIN($E$5,DAY(EOMONTH(DATE(YEAR($E$3),MONTH($E$3)+A181*$E$4,1),0)))),$B$6)</f>
        <v/>
      </c>
      <c r="C181" t="inlineStr">
        <is>
          <t>проценты, тело</t>
        </is>
      </c>
      <c r="D181">
        <f>B181-B180</f>
        <v/>
      </c>
      <c r="E181" s="11">
        <f>IF(YEAR(B180)=YEAR(B181),(B181-B180)/(DATE(YEAR(B180)+1,1,1)-DATE(YEAR(B180),1,1)),(DATE(YEAR(B180)+1,1,1)-B180)/(DATE(YEAR(B180)+1,1,1)-DATE(YEAR(B180),1,1))+(B181-DATE(YEAR(B181),1,1))/(DATE(YEAR(B181)+1,1,1)-DATE(YEAR(B181),1,1))+YEAR(B181)-YEAR(B180)-1)</f>
        <v/>
      </c>
      <c r="F181" s="8">
        <f>K180</f>
        <v/>
      </c>
      <c r="G181" s="7">
        <f>$B$10</f>
        <v/>
      </c>
      <c r="H181" s="8">
        <f>F181*G181*E181</f>
        <v/>
      </c>
      <c r="I181" s="8">
        <f>SUM(H181:H181)</f>
        <v/>
      </c>
      <c r="J181" s="8">
        <f>$B$7/$B$13</f>
        <v/>
      </c>
      <c r="K181" s="8">
        <f>F181-J181</f>
        <v/>
      </c>
    </row>
    <row r="182">
      <c r="A182" t="n">
        <v>186</v>
      </c>
      <c r="B182" s="10">
        <f>MIN(DATE(YEAR($E$3),MONTH($E$3)+A182*$E$4,MIN($E$5,DAY(EOMONTH(DATE(YEAR($E$3),MONTH($E$3)+A182*$E$4,1),0)))),$B$6)</f>
        <v/>
      </c>
      <c r="C182" t="inlineStr">
        <is>
          <t>проценты, тело</t>
        </is>
      </c>
      <c r="D182">
        <f>B182-B181</f>
        <v/>
      </c>
      <c r="E182" s="11">
        <f>IF(YEAR(B181)=YEAR(B182),(B182-B181)/(DATE(YEAR(B181)+1,1,1)-DATE(YEAR(B181),1,1)),(DATE(YEAR(B181)+1,1,1)-B181)/(DATE(YEAR(B181)+1,1,1)-DATE(YEAR(B181),1,1))+(B182-DATE(YEAR(B182),1,1))/(DATE(YEAR(B182)+1,1,1)-DATE(YEAR(B182),1,1))+YEAR(B182)-YEAR(B181)-1)</f>
        <v/>
      </c>
      <c r="F182" s="8">
        <f>K181</f>
        <v/>
      </c>
      <c r="G182" s="7">
        <f>$B$10</f>
        <v/>
      </c>
      <c r="H182" s="8">
        <f>F182*G182*E182</f>
        <v/>
      </c>
      <c r="I182" s="8">
        <f>SUM(H182:H182)</f>
        <v/>
      </c>
      <c r="J182" s="8">
        <f>$B$7/$B$13</f>
        <v/>
      </c>
      <c r="K182" s="8">
        <f>F182-J182</f>
        <v/>
      </c>
    </row>
    <row r="183">
      <c r="A183" t="n">
        <v>187</v>
      </c>
      <c r="B183" s="10">
        <f>MIN(DATE(YEAR($E$3),MONTH($E$3)+A183*$E$4,MIN($E$5,DAY(EOMONTH(DATE(YEAR($E$3),MONTH($E$3)+A183*$E$4,1),0)))),$B$6)</f>
        <v/>
      </c>
      <c r="C183" t="inlineStr">
        <is>
          <t>проценты, тело</t>
        </is>
      </c>
      <c r="D183">
        <f>B183-B182</f>
        <v/>
      </c>
      <c r="E183" s="11">
        <f>IF(YEAR(B182)=YEAR(B183),(B183-B182)/(DATE(YEAR(B182)+1,1,1)-DATE(YEAR(B182),1,1)),(DATE(YEAR(B182)+1,1,1)-B182)/(DATE(YEAR(B182)+1,1,1)-DATE(YEAR(B182),1,1))+(B183-DATE(YEAR(B183),1,1))/(DATE(YEAR(B183)+1,1,1)-DATE(YEAR(B183),1,1))+YEAR(B183)-YEAR(B182)-1)</f>
        <v/>
      </c>
      <c r="F183" s="8">
        <f>K182</f>
        <v/>
      </c>
      <c r="G183" s="7">
        <f>$B$10</f>
        <v/>
      </c>
      <c r="H183" s="8">
        <f>F183*G183*E183</f>
        <v/>
      </c>
      <c r="I183" s="8">
        <f>SUM(H183:H183)</f>
        <v/>
      </c>
      <c r="J183" s="8">
        <f>$B$7/$B$13</f>
        <v/>
      </c>
      <c r="K183" s="8">
        <f>F183-J183</f>
        <v/>
      </c>
    </row>
    <row r="184">
      <c r="A184" t="n">
        <v>188</v>
      </c>
      <c r="B184" s="10">
        <f>MIN(DATE(YEAR($E$3),MONTH($E$3)+A184*$E$4,MIN($E$5,DAY(EOMONTH(DATE(YEAR($E$3),MONTH($E$3)+A184*$E$4,1),0)))),$B$6)</f>
        <v/>
      </c>
      <c r="C184" t="inlineStr">
        <is>
          <t>проценты, тело</t>
        </is>
      </c>
      <c r="D184">
        <f>B184-B183</f>
        <v/>
      </c>
      <c r="E184" s="11">
        <f>IF(YEAR(B183)=YEAR(B184),(B184-B183)/(DATE(YEAR(B183)+1,1,1)-DATE(YEAR(B183),1,1)),(DATE(YEAR(B183)+1,1,1)-B183)/(DATE(YEAR(B183)+1,1,1)-DATE(YEAR(B183),1,1))+(B184-DATE(YEAR(B184),1,1))/(DATE(YEAR(B184)+1,1,1)-DATE(YEAR(B184),1,1))+YEAR(B184)-YEAR(B183)-1)</f>
        <v/>
      </c>
      <c r="F184" s="8">
        <f>K183</f>
        <v/>
      </c>
      <c r="G184" s="7">
        <f>$B$10</f>
        <v/>
      </c>
      <c r="H184" s="8">
        <f>F184*G184*E184</f>
        <v/>
      </c>
      <c r="I184" s="8">
        <f>SUM(H184:H184)</f>
        <v/>
      </c>
      <c r="J184" s="8">
        <f>$B$7/$B$13</f>
        <v/>
      </c>
      <c r="K184" s="8">
        <f>F184-J184</f>
        <v/>
      </c>
    </row>
    <row r="185">
      <c r="A185" t="n">
        <v>189</v>
      </c>
      <c r="B185" s="10">
        <f>MIN(DATE(YEAR($E$3),MONTH($E$3)+A185*$E$4,MIN($E$5,DAY(EOMONTH(DATE(YEAR($E$3),MONTH($E$3)+A185*$E$4,1),0)))),$B$6)</f>
        <v/>
      </c>
      <c r="C185" t="inlineStr">
        <is>
          <t>проценты, тело</t>
        </is>
      </c>
      <c r="D185">
        <f>B185-B184</f>
        <v/>
      </c>
      <c r="E185" s="11">
        <f>IF(YEAR(B184)=YEAR(B185),(B185-B184)/(DATE(YEAR(B184)+1,1,1)-DATE(YEAR(B184),1,1)),(DATE(YEAR(B184)+1,1,1)-B184)/(DATE(YEAR(B184)+1,1,1)-DATE(YEAR(B184),1,1))+(B185-DATE(YEAR(B185),1,1))/(DATE(YEAR(B185)+1,1,1)-DATE(YEAR(B185),1,1))+YEAR(B185)-YEAR(B184)-1)</f>
        <v/>
      </c>
      <c r="F185" s="8">
        <f>K184</f>
        <v/>
      </c>
      <c r="G185" s="7">
        <f>$B$10</f>
        <v/>
      </c>
      <c r="H185" s="8">
        <f>F185*G185*E185</f>
        <v/>
      </c>
      <c r="I185" s="8">
        <f>SUM(H185:H185)</f>
        <v/>
      </c>
      <c r="J185" s="8">
        <f>$B$7/$B$13</f>
        <v/>
      </c>
      <c r="K185" s="8">
        <f>F185-J185</f>
        <v/>
      </c>
    </row>
    <row r="186">
      <c r="A186" t="n">
        <v>190</v>
      </c>
      <c r="B186" s="10">
        <f>MIN(DATE(YEAR($E$3),MONTH($E$3)+A186*$E$4,MIN($E$5,DAY(EOMONTH(DATE(YEAR($E$3),MONTH($E$3)+A186*$E$4,1),0)))),$B$6)</f>
        <v/>
      </c>
      <c r="C186" t="inlineStr">
        <is>
          <t>проценты, тело</t>
        </is>
      </c>
      <c r="D186">
        <f>B186-B185</f>
        <v/>
      </c>
      <c r="E186" s="11">
        <f>IF(YEAR(B185)=YEAR(B186),(B186-B185)/(DATE(YEAR(B185)+1,1,1)-DATE(YEAR(B185),1,1)),(DATE(YEAR(B185)+1,1,1)-B185)/(DATE(YEAR(B185)+1,1,1)-DATE(YEAR(B185),1,1))+(B186-DATE(YEAR(B186),1,1))/(DATE(YEAR(B186)+1,1,1)-DATE(YEAR(B186),1,1))+YEAR(B186)-YEAR(B185)-1)</f>
        <v/>
      </c>
      <c r="F186" s="8">
        <f>K185</f>
        <v/>
      </c>
      <c r="G186" s="7">
        <f>$B$10</f>
        <v/>
      </c>
      <c r="H186" s="8">
        <f>F186*G186*E186</f>
        <v/>
      </c>
      <c r="I186" s="8">
        <f>SUM(H186:H186)</f>
        <v/>
      </c>
      <c r="J186" s="8">
        <f>$B$7/$B$13</f>
        <v/>
      </c>
      <c r="K186" s="8">
        <f>F186-J186</f>
        <v/>
      </c>
    </row>
    <row r="187">
      <c r="A187" t="n">
        <v>191</v>
      </c>
      <c r="B187" s="10">
        <f>MIN(DATE(YEAR($E$3),MONTH($E$3)+A187*$E$4,MIN($E$5,DAY(EOMONTH(DATE(YEAR($E$3),MONTH($E$3)+A187*$E$4,1),0)))),$B$6)</f>
        <v/>
      </c>
      <c r="C187" t="inlineStr">
        <is>
          <t>проценты, тело</t>
        </is>
      </c>
      <c r="D187">
        <f>B187-B186</f>
        <v/>
      </c>
      <c r="E187" s="11">
        <f>IF(YEAR(B186)=YEAR(B187),(B187-B186)/(DATE(YEAR(B186)+1,1,1)-DATE(YEAR(B186),1,1)),(DATE(YEAR(B186)+1,1,1)-B186)/(DATE(YEAR(B186)+1,1,1)-DATE(YEAR(B186),1,1))+(B187-DATE(YEAR(B187),1,1))/(DATE(YEAR(B187)+1,1,1)-DATE(YEAR(B187),1,1))+YEAR(B187)-YEAR(B186)-1)</f>
        <v/>
      </c>
      <c r="F187" s="8">
        <f>K186</f>
        <v/>
      </c>
      <c r="G187" s="7">
        <f>$B$10</f>
        <v/>
      </c>
      <c r="H187" s="8">
        <f>F187*G187*E187</f>
        <v/>
      </c>
      <c r="I187" s="8">
        <f>SUM(H187:H187)</f>
        <v/>
      </c>
      <c r="J187" s="8">
        <f>$B$7/$B$13</f>
        <v/>
      </c>
      <c r="K187" s="8">
        <f>F187-J187</f>
        <v/>
      </c>
    </row>
    <row r="188">
      <c r="A188" t="n">
        <v>192</v>
      </c>
      <c r="B188" s="10">
        <f>MIN(DATE(YEAR($E$3),MONTH($E$3)+A188*$E$4,MIN($E$5,DAY(EOMONTH(DATE(YEAR($E$3),MONTH($E$3)+A188*$E$4,1),0)))),$B$6)</f>
        <v/>
      </c>
      <c r="C188" t="inlineStr">
        <is>
          <t>проценты, тело</t>
        </is>
      </c>
      <c r="D188">
        <f>B188-B187</f>
        <v/>
      </c>
      <c r="E188" s="11">
        <f>IF(YEAR(B187)=YEAR(B188),(B188-B187)/(DATE(YEAR(B187)+1,1,1)-DATE(YEAR(B187),1,1)),(DATE(YEAR(B187)+1,1,1)-B187)/(DATE(YEAR(B187)+1,1,1)-DATE(YEAR(B187),1,1))+(B188-DATE(YEAR(B188),1,1))/(DATE(YEAR(B188)+1,1,1)-DATE(YEAR(B188),1,1))+YEAR(B188)-YEAR(B187)-1)</f>
        <v/>
      </c>
      <c r="F188" s="8">
        <f>K187</f>
        <v/>
      </c>
      <c r="G188" s="7">
        <f>$B$10</f>
        <v/>
      </c>
      <c r="H188" s="8">
        <f>F188*G188*E188</f>
        <v/>
      </c>
      <c r="I188" s="8">
        <f>SUM(H188:H188)</f>
        <v/>
      </c>
      <c r="J188" s="8">
        <f>$B$7/$B$13</f>
        <v/>
      </c>
      <c r="K188" s="8">
        <f>F188-J188</f>
        <v/>
      </c>
    </row>
    <row r="189">
      <c r="A189" t="n">
        <v>193</v>
      </c>
      <c r="B189" s="10">
        <f>MIN(DATE(YEAR($E$3),MONTH($E$3)+A189*$E$4,MIN($E$5,DAY(EOMONTH(DATE(YEAR($E$3),MONTH($E$3)+A189*$E$4,1),0)))),$B$6)</f>
        <v/>
      </c>
      <c r="C189" t="inlineStr">
        <is>
          <t>проценты, тело</t>
        </is>
      </c>
      <c r="D189">
        <f>B189-B188</f>
        <v/>
      </c>
      <c r="E189" s="11">
        <f>IF(YEAR(B188)=YEAR(B189),(B189-B188)/(DATE(YEAR(B188)+1,1,1)-DATE(YEAR(B188),1,1)),(DATE(YEAR(B188)+1,1,1)-B188)/(DATE(YEAR(B188)+1,1,1)-DATE(YEAR(B188),1,1))+(B189-DATE(YEAR(B189),1,1))/(DATE(YEAR(B189)+1,1,1)-DATE(YEAR(B189),1,1))+YEAR(B189)-YEAR(B188)-1)</f>
        <v/>
      </c>
      <c r="F189" s="8">
        <f>K188</f>
        <v/>
      </c>
      <c r="G189" s="7">
        <f>$B$10</f>
        <v/>
      </c>
      <c r="H189" s="8">
        <f>F189*G189*E189</f>
        <v/>
      </c>
      <c r="I189" s="8">
        <f>SUM(H189:H189)</f>
        <v/>
      </c>
      <c r="J189" s="8">
        <f>$B$7/$B$13</f>
        <v/>
      </c>
      <c r="K189" s="8">
        <f>F189-J189</f>
        <v/>
      </c>
    </row>
    <row r="190">
      <c r="A190" t="n">
        <v>194</v>
      </c>
      <c r="B190" s="10">
        <f>MIN(DATE(YEAR($E$3),MONTH($E$3)+A190*$E$4,MIN($E$5,DAY(EOMONTH(DATE(YEAR($E$3),MONTH($E$3)+A190*$E$4,1),0)))),$B$6)</f>
        <v/>
      </c>
      <c r="C190" t="inlineStr">
        <is>
          <t>проценты, тело</t>
        </is>
      </c>
      <c r="D190">
        <f>B190-B189</f>
        <v/>
      </c>
      <c r="E190" s="11">
        <f>IF(YEAR(B189)=YEAR(B190),(B190-B189)/(DATE(YEAR(B189)+1,1,1)-DATE(YEAR(B189),1,1)),(DATE(YEAR(B189)+1,1,1)-B189)/(DATE(YEAR(B189)+1,1,1)-DATE(YEAR(B189),1,1))+(B190-DATE(YEAR(B190),1,1))/(DATE(YEAR(B190)+1,1,1)-DATE(YEAR(B190),1,1))+YEAR(B190)-YEAR(B189)-1)</f>
        <v/>
      </c>
      <c r="F190" s="8">
        <f>K189</f>
        <v/>
      </c>
      <c r="G190" s="7">
        <f>$B$10</f>
        <v/>
      </c>
      <c r="H190" s="8">
        <f>F190*G190*E190</f>
        <v/>
      </c>
      <c r="I190" s="8">
        <f>SUM(H190:H190)</f>
        <v/>
      </c>
      <c r="J190" s="8">
        <f>$B$7/$B$13</f>
        <v/>
      </c>
      <c r="K190" s="8">
        <f>F190-J190</f>
        <v/>
      </c>
    </row>
    <row r="191">
      <c r="A191" t="n">
        <v>195</v>
      </c>
      <c r="B191" s="10">
        <f>MIN(DATE(YEAR($E$3),MONTH($E$3)+A191*$E$4,MIN($E$5,DAY(EOMONTH(DATE(YEAR($E$3),MONTH($E$3)+A191*$E$4,1),0)))),$B$6)</f>
        <v/>
      </c>
      <c r="C191" t="inlineStr">
        <is>
          <t>проценты, тело</t>
        </is>
      </c>
      <c r="D191">
        <f>B191-B190</f>
        <v/>
      </c>
      <c r="E191" s="11">
        <f>IF(YEAR(B190)=YEAR(B191),(B191-B190)/(DATE(YEAR(B190)+1,1,1)-DATE(YEAR(B190),1,1)),(DATE(YEAR(B190)+1,1,1)-B190)/(DATE(YEAR(B190)+1,1,1)-DATE(YEAR(B190),1,1))+(B191-DATE(YEAR(B191),1,1))/(DATE(YEAR(B191)+1,1,1)-DATE(YEAR(B191),1,1))+YEAR(B191)-YEAR(B190)-1)</f>
        <v/>
      </c>
      <c r="F191" s="8">
        <f>K190</f>
        <v/>
      </c>
      <c r="G191" s="7">
        <f>$B$10</f>
        <v/>
      </c>
      <c r="H191" s="8">
        <f>F191*G191*E191</f>
        <v/>
      </c>
      <c r="I191" s="8">
        <f>SUM(H191:H191)</f>
        <v/>
      </c>
      <c r="J191" s="8">
        <f>$B$7/$B$13</f>
        <v/>
      </c>
      <c r="K191" s="8">
        <f>F191-J191</f>
        <v/>
      </c>
    </row>
    <row r="192">
      <c r="A192" t="n">
        <v>196</v>
      </c>
      <c r="B192" s="10">
        <f>MIN(DATE(YEAR($E$3),MONTH($E$3)+A192*$E$4,MIN($E$5,DAY(EOMONTH(DATE(YEAR($E$3),MONTH($E$3)+A192*$E$4,1),0)))),$B$6)</f>
        <v/>
      </c>
      <c r="C192" t="inlineStr">
        <is>
          <t>проценты, тело</t>
        </is>
      </c>
      <c r="D192">
        <f>B192-B191</f>
        <v/>
      </c>
      <c r="E192" s="11">
        <f>IF(YEAR(B191)=YEAR(B192),(B192-B191)/(DATE(YEAR(B191)+1,1,1)-DATE(YEAR(B191),1,1)),(DATE(YEAR(B191)+1,1,1)-B191)/(DATE(YEAR(B191)+1,1,1)-DATE(YEAR(B191),1,1))+(B192-DATE(YEAR(B192),1,1))/(DATE(YEAR(B192)+1,1,1)-DATE(YEAR(B192),1,1))+YEAR(B192)-YEAR(B191)-1)</f>
        <v/>
      </c>
      <c r="F192" s="8">
        <f>K191</f>
        <v/>
      </c>
      <c r="G192" s="7">
        <f>$B$10</f>
        <v/>
      </c>
      <c r="H192" s="8">
        <f>F192*G192*E192</f>
        <v/>
      </c>
      <c r="I192" s="8">
        <f>SUM(H192:H192)</f>
        <v/>
      </c>
      <c r="J192" s="8">
        <f>$B$7/$B$13</f>
        <v/>
      </c>
      <c r="K192" s="8">
        <f>F192-J192</f>
        <v/>
      </c>
    </row>
    <row r="193">
      <c r="A193" t="n">
        <v>197</v>
      </c>
      <c r="B193" s="10">
        <f>MIN(DATE(YEAR($E$3),MONTH($E$3)+A193*$E$4,MIN($E$5,DAY(EOMONTH(DATE(YEAR($E$3),MONTH($E$3)+A193*$E$4,1),0)))),$B$6)</f>
        <v/>
      </c>
      <c r="C193" t="inlineStr">
        <is>
          <t>проценты, тело</t>
        </is>
      </c>
      <c r="D193">
        <f>B193-B192</f>
        <v/>
      </c>
      <c r="E193" s="11">
        <f>IF(YEAR(B192)=YEAR(B193),(B193-B192)/(DATE(YEAR(B192)+1,1,1)-DATE(YEAR(B192),1,1)),(DATE(YEAR(B192)+1,1,1)-B192)/(DATE(YEAR(B192)+1,1,1)-DATE(YEAR(B192),1,1))+(B193-DATE(YEAR(B193),1,1))/(DATE(YEAR(B193)+1,1,1)-DATE(YEAR(B193),1,1))+YEAR(B193)-YEAR(B192)-1)</f>
        <v/>
      </c>
      <c r="F193" s="8">
        <f>K192</f>
        <v/>
      </c>
      <c r="G193" s="7">
        <f>$B$10</f>
        <v/>
      </c>
      <c r="H193" s="8">
        <f>F193*G193*E193</f>
        <v/>
      </c>
      <c r="I193" s="8">
        <f>SUM(H193:H193)</f>
        <v/>
      </c>
      <c r="J193" s="8">
        <f>$B$7/$B$13</f>
        <v/>
      </c>
      <c r="K193" s="8">
        <f>F193-J193</f>
        <v/>
      </c>
    </row>
    <row r="194">
      <c r="A194" t="n">
        <v>198</v>
      </c>
      <c r="B194" s="10">
        <f>MIN(DATE(YEAR($E$3),MONTH($E$3)+A194*$E$4,MIN($E$5,DAY(EOMONTH(DATE(YEAR($E$3),MONTH($E$3)+A194*$E$4,1),0)))),$B$6)</f>
        <v/>
      </c>
      <c r="C194" t="inlineStr">
        <is>
          <t>проценты, тело</t>
        </is>
      </c>
      <c r="D194">
        <f>B194-B193</f>
        <v/>
      </c>
      <c r="E194" s="11">
        <f>IF(YEAR(B193)=YEAR(B194),(B194-B193)/(DATE(YEAR(B193)+1,1,1)-DATE(YEAR(B193),1,1)),(DATE(YEAR(B193)+1,1,1)-B193)/(DATE(YEAR(B193)+1,1,1)-DATE(YEAR(B193),1,1))+(B194-DATE(YEAR(B194),1,1))/(DATE(YEAR(B194)+1,1,1)-DATE(YEAR(B194),1,1))+YEAR(B194)-YEAR(B193)-1)</f>
        <v/>
      </c>
      <c r="F194" s="8">
        <f>K193</f>
        <v/>
      </c>
      <c r="G194" s="7">
        <f>$B$10</f>
        <v/>
      </c>
      <c r="H194" s="8">
        <f>F194*G194*E194</f>
        <v/>
      </c>
      <c r="I194" s="8">
        <f>SUM(H194:H194)</f>
        <v/>
      </c>
      <c r="J194" s="8">
        <f>$B$7/$B$13</f>
        <v/>
      </c>
      <c r="K194" s="8">
        <f>F194-J194</f>
        <v/>
      </c>
    </row>
    <row r="195">
      <c r="A195" t="n">
        <v>199</v>
      </c>
      <c r="B195" s="10">
        <f>MIN(DATE(YEAR($E$3),MONTH($E$3)+A195*$E$4,MIN($E$5,DAY(EOMONTH(DATE(YEAR($E$3),MONTH($E$3)+A195*$E$4,1),0)))),$B$6)</f>
        <v/>
      </c>
      <c r="C195" t="inlineStr">
        <is>
          <t>проценты, тело</t>
        </is>
      </c>
      <c r="D195">
        <f>B195-B194</f>
        <v/>
      </c>
      <c r="E195" s="11">
        <f>IF(YEAR(B194)=YEAR(B195),(B195-B194)/(DATE(YEAR(B194)+1,1,1)-DATE(YEAR(B194),1,1)),(DATE(YEAR(B194)+1,1,1)-B194)/(DATE(YEAR(B194)+1,1,1)-DATE(YEAR(B194),1,1))+(B195-DATE(YEAR(B195),1,1))/(DATE(YEAR(B195)+1,1,1)-DATE(YEAR(B195),1,1))+YEAR(B195)-YEAR(B194)-1)</f>
        <v/>
      </c>
      <c r="F195" s="8">
        <f>K194</f>
        <v/>
      </c>
      <c r="G195" s="7">
        <f>$B$10</f>
        <v/>
      </c>
      <c r="H195" s="8">
        <f>F195*G195*E195</f>
        <v/>
      </c>
      <c r="I195" s="8">
        <f>SUM(H195:H195)</f>
        <v/>
      </c>
      <c r="J195" s="8">
        <f>$B$7/$B$13</f>
        <v/>
      </c>
      <c r="K195" s="8">
        <f>F195-J195</f>
        <v/>
      </c>
    </row>
    <row r="196">
      <c r="A196" t="n">
        <v>200</v>
      </c>
      <c r="B196" s="10">
        <f>MIN(DATE(YEAR($E$3),MONTH($E$3)+A196*$E$4,MIN($E$5,DAY(EOMONTH(DATE(YEAR($E$3),MONTH($E$3)+A196*$E$4,1),0)))),$B$6)</f>
        <v/>
      </c>
      <c r="C196" t="inlineStr">
        <is>
          <t>проценты, тело</t>
        </is>
      </c>
      <c r="D196">
        <f>B196-B195</f>
        <v/>
      </c>
      <c r="E196" s="11">
        <f>IF(YEAR(B195)=YEAR(B196),(B196-B195)/(DATE(YEAR(B195)+1,1,1)-DATE(YEAR(B195),1,1)),(DATE(YEAR(B195)+1,1,1)-B195)/(DATE(YEAR(B195)+1,1,1)-DATE(YEAR(B195),1,1))+(B196-DATE(YEAR(B196),1,1))/(DATE(YEAR(B196)+1,1,1)-DATE(YEAR(B196),1,1))+YEAR(B196)-YEAR(B195)-1)</f>
        <v/>
      </c>
      <c r="F196" s="8">
        <f>K195</f>
        <v/>
      </c>
      <c r="G196" s="7">
        <f>$B$10</f>
        <v/>
      </c>
      <c r="H196" s="8">
        <f>F196*G196*E196</f>
        <v/>
      </c>
      <c r="I196" s="8">
        <f>SUM(H196:H196)</f>
        <v/>
      </c>
      <c r="J196" s="8">
        <f>$B$7/$B$13</f>
        <v/>
      </c>
      <c r="K196" s="8">
        <f>F196-J196</f>
        <v/>
      </c>
    </row>
    <row r="197">
      <c r="A197" t="n">
        <v>201</v>
      </c>
      <c r="B197" s="10">
        <f>MIN(DATE(YEAR($E$3),MONTH($E$3)+A197*$E$4,MIN($E$5,DAY(EOMONTH(DATE(YEAR($E$3),MONTH($E$3)+A197*$E$4,1),0)))),$B$6)</f>
        <v/>
      </c>
      <c r="C197" t="inlineStr">
        <is>
          <t>проценты, тело</t>
        </is>
      </c>
      <c r="D197">
        <f>B197-B196</f>
        <v/>
      </c>
      <c r="E197" s="11">
        <f>IF(YEAR(B196)=YEAR(B197),(B197-B196)/(DATE(YEAR(B196)+1,1,1)-DATE(YEAR(B196),1,1)),(DATE(YEAR(B196)+1,1,1)-B196)/(DATE(YEAR(B196)+1,1,1)-DATE(YEAR(B196),1,1))+(B197-DATE(YEAR(B197),1,1))/(DATE(YEAR(B197)+1,1,1)-DATE(YEAR(B197),1,1))+YEAR(B197)-YEAR(B196)-1)</f>
        <v/>
      </c>
      <c r="F197" s="8">
        <f>K196</f>
        <v/>
      </c>
      <c r="G197" s="7">
        <f>$B$10</f>
        <v/>
      </c>
      <c r="H197" s="8">
        <f>F197*G197*E197</f>
        <v/>
      </c>
      <c r="I197" s="8">
        <f>SUM(H197:H197)</f>
        <v/>
      </c>
      <c r="J197" s="8">
        <f>$B$7/$B$13</f>
        <v/>
      </c>
      <c r="K197" s="8">
        <f>F197-J197</f>
        <v/>
      </c>
    </row>
    <row r="198">
      <c r="A198" t="n">
        <v>202</v>
      </c>
      <c r="B198" s="10">
        <f>MIN(DATE(YEAR($E$3),MONTH($E$3)+A198*$E$4,MIN($E$5,DAY(EOMONTH(DATE(YEAR($E$3),MONTH($E$3)+A198*$E$4,1),0)))),$B$6)</f>
        <v/>
      </c>
      <c r="C198" t="inlineStr">
        <is>
          <t>проценты, тело</t>
        </is>
      </c>
      <c r="D198">
        <f>B198-B197</f>
        <v/>
      </c>
      <c r="E198" s="11">
        <f>IF(YEAR(B197)=YEAR(B198),(B198-B197)/(DATE(YEAR(B197)+1,1,1)-DATE(YEAR(B197),1,1)),(DATE(YEAR(B197)+1,1,1)-B197)/(DATE(YEAR(B197)+1,1,1)-DATE(YEAR(B197),1,1))+(B198-DATE(YEAR(B198),1,1))/(DATE(YEAR(B198)+1,1,1)-DATE(YEAR(B198),1,1))+YEAR(B198)-YEAR(B197)-1)</f>
        <v/>
      </c>
      <c r="F198" s="8">
        <f>K197</f>
        <v/>
      </c>
      <c r="G198" s="7">
        <f>$B$10</f>
        <v/>
      </c>
      <c r="H198" s="8">
        <f>F198*G198*E198</f>
        <v/>
      </c>
      <c r="I198" s="8">
        <f>SUM(H198:H198)</f>
        <v/>
      </c>
      <c r="J198" s="8">
        <f>$B$7/$B$13</f>
        <v/>
      </c>
      <c r="K198" s="8">
        <f>F198-J198</f>
        <v/>
      </c>
    </row>
    <row r="199">
      <c r="A199" t="n">
        <v>203</v>
      </c>
      <c r="B199" s="10">
        <f>MIN(DATE(YEAR($E$3),MONTH($E$3)+A199*$E$4,MIN($E$5,DAY(EOMONTH(DATE(YEAR($E$3),MONTH($E$3)+A199*$E$4,1),0)))),$B$6)</f>
        <v/>
      </c>
      <c r="C199" t="inlineStr">
        <is>
          <t>проценты, тело</t>
        </is>
      </c>
      <c r="D199">
        <f>B199-B198</f>
        <v/>
      </c>
      <c r="E199" s="11">
        <f>IF(YEAR(B198)=YEAR(B199),(B199-B198)/(DATE(YEAR(B198)+1,1,1)-DATE(YEAR(B198),1,1)),(DATE(YEAR(B198)+1,1,1)-B198)/(DATE(YEAR(B198)+1,1,1)-DATE(YEAR(B198),1,1))+(B199-DATE(YEAR(B199),1,1))/(DATE(YEAR(B199)+1,1,1)-DATE(YEAR(B199),1,1))+YEAR(B199)-YEAR(B198)-1)</f>
        <v/>
      </c>
      <c r="F199" s="8">
        <f>K198</f>
        <v/>
      </c>
      <c r="G199" s="7">
        <f>$B$10</f>
        <v/>
      </c>
      <c r="H199" s="8">
        <f>F199*G199*E199</f>
        <v/>
      </c>
      <c r="I199" s="8">
        <f>SUM(H199:H199)</f>
        <v/>
      </c>
      <c r="J199" s="8">
        <f>$B$7/$B$13</f>
        <v/>
      </c>
      <c r="K199" s="8">
        <f>F199-J199</f>
        <v/>
      </c>
    </row>
    <row r="200">
      <c r="A200" t="n">
        <v>204</v>
      </c>
      <c r="B200" s="10">
        <f>MIN(DATE(YEAR($E$3),MONTH($E$3)+A200*$E$4,MIN($E$5,DAY(EOMONTH(DATE(YEAR($E$3),MONTH($E$3)+A200*$E$4,1),0)))),$B$6)</f>
        <v/>
      </c>
      <c r="C200" t="inlineStr">
        <is>
          <t>проценты, тело</t>
        </is>
      </c>
      <c r="D200">
        <f>B200-B199</f>
        <v/>
      </c>
      <c r="E200" s="11">
        <f>IF(YEAR(B199)=YEAR(B200),(B200-B199)/(DATE(YEAR(B199)+1,1,1)-DATE(YEAR(B199),1,1)),(DATE(YEAR(B199)+1,1,1)-B199)/(DATE(YEAR(B199)+1,1,1)-DATE(YEAR(B199),1,1))+(B200-DATE(YEAR(B200),1,1))/(DATE(YEAR(B200)+1,1,1)-DATE(YEAR(B200),1,1))+YEAR(B200)-YEAR(B199)-1)</f>
        <v/>
      </c>
      <c r="F200" s="8">
        <f>K199</f>
        <v/>
      </c>
      <c r="G200" s="7">
        <f>$B$10</f>
        <v/>
      </c>
      <c r="H200" s="8">
        <f>F200*G200*E200</f>
        <v/>
      </c>
      <c r="I200" s="8">
        <f>SUM(H200:H200)</f>
        <v/>
      </c>
      <c r="J200" s="8">
        <f>$B$7/$B$13</f>
        <v/>
      </c>
      <c r="K200" s="8">
        <f>F200-J200</f>
        <v/>
      </c>
    </row>
    <row r="201">
      <c r="A201" t="n">
        <v>205</v>
      </c>
      <c r="B201" s="10">
        <f>MIN(DATE(YEAR($E$3),MONTH($E$3)+A201*$E$4,MIN($E$5,DAY(EOMONTH(DATE(YEAR($E$3),MONTH($E$3)+A201*$E$4,1),0)))),$B$6)</f>
        <v/>
      </c>
      <c r="C201" t="inlineStr">
        <is>
          <t>проценты, тело</t>
        </is>
      </c>
      <c r="D201">
        <f>B201-B200</f>
        <v/>
      </c>
      <c r="E201" s="11">
        <f>IF(YEAR(B200)=YEAR(B201),(B201-B200)/(DATE(YEAR(B200)+1,1,1)-DATE(YEAR(B200),1,1)),(DATE(YEAR(B200)+1,1,1)-B200)/(DATE(YEAR(B200)+1,1,1)-DATE(YEAR(B200),1,1))+(B201-DATE(YEAR(B201),1,1))/(DATE(YEAR(B201)+1,1,1)-DATE(YEAR(B201),1,1))+YEAR(B201)-YEAR(B200)-1)</f>
        <v/>
      </c>
      <c r="F201" s="8">
        <f>K200</f>
        <v/>
      </c>
      <c r="G201" s="7">
        <f>$B$10</f>
        <v/>
      </c>
      <c r="H201" s="8">
        <f>F201*G201*E201</f>
        <v/>
      </c>
      <c r="I201" s="8">
        <f>SUM(H201:H201)</f>
        <v/>
      </c>
      <c r="J201" s="8">
        <f>$B$7/$B$13</f>
        <v/>
      </c>
      <c r="K201" s="8">
        <f>F201-J201</f>
        <v/>
      </c>
    </row>
    <row r="202">
      <c r="A202" t="n">
        <v>206</v>
      </c>
      <c r="B202" s="10">
        <f>MIN(DATE(YEAR($E$3),MONTH($E$3)+A202*$E$4,MIN($E$5,DAY(EOMONTH(DATE(YEAR($E$3),MONTH($E$3)+A202*$E$4,1),0)))),$B$6)</f>
        <v/>
      </c>
      <c r="C202" t="inlineStr">
        <is>
          <t>проценты, тело</t>
        </is>
      </c>
      <c r="D202">
        <f>B202-B201</f>
        <v/>
      </c>
      <c r="E202" s="11">
        <f>IF(YEAR(B201)=YEAR(B202),(B202-B201)/(DATE(YEAR(B201)+1,1,1)-DATE(YEAR(B201),1,1)),(DATE(YEAR(B201)+1,1,1)-B201)/(DATE(YEAR(B201)+1,1,1)-DATE(YEAR(B201),1,1))+(B202-DATE(YEAR(B202),1,1))/(DATE(YEAR(B202)+1,1,1)-DATE(YEAR(B202),1,1))+YEAR(B202)-YEAR(B201)-1)</f>
        <v/>
      </c>
      <c r="F202" s="8">
        <f>K201</f>
        <v/>
      </c>
      <c r="G202" s="7">
        <f>$B$10</f>
        <v/>
      </c>
      <c r="H202" s="8">
        <f>F202*G202*E202</f>
        <v/>
      </c>
      <c r="I202" s="8">
        <f>SUM(H202:H202)</f>
        <v/>
      </c>
      <c r="J202" s="8">
        <f>$B$7/$B$13</f>
        <v/>
      </c>
      <c r="K202" s="8">
        <f>F202-J202</f>
        <v/>
      </c>
    </row>
    <row r="203">
      <c r="A203" t="n">
        <v>207</v>
      </c>
      <c r="B203" s="10">
        <f>MIN(DATE(YEAR($E$3),MONTH($E$3)+A203*$E$4,MIN($E$5,DAY(EOMONTH(DATE(YEAR($E$3),MONTH($E$3)+A203*$E$4,1),0)))),$B$6)</f>
        <v/>
      </c>
      <c r="C203" t="inlineStr">
        <is>
          <t>проценты, тело</t>
        </is>
      </c>
      <c r="D203">
        <f>B203-B202</f>
        <v/>
      </c>
      <c r="E203" s="11">
        <f>IF(YEAR(B202)=YEAR(B203),(B203-B202)/(DATE(YEAR(B202)+1,1,1)-DATE(YEAR(B202),1,1)),(DATE(YEAR(B202)+1,1,1)-B202)/(DATE(YEAR(B202)+1,1,1)-DATE(YEAR(B202),1,1))+(B203-DATE(YEAR(B203),1,1))/(DATE(YEAR(B203)+1,1,1)-DATE(YEAR(B203),1,1))+YEAR(B203)-YEAR(B202)-1)</f>
        <v/>
      </c>
      <c r="F203" s="8">
        <f>K202</f>
        <v/>
      </c>
      <c r="G203" s="7">
        <f>$B$10</f>
        <v/>
      </c>
      <c r="H203" s="8">
        <f>F203*G203*E203</f>
        <v/>
      </c>
      <c r="I203" s="8">
        <f>SUM(H203:H203)</f>
        <v/>
      </c>
      <c r="J203" s="8">
        <f>$B$7/$B$13</f>
        <v/>
      </c>
      <c r="K203" s="8">
        <f>F203-J203</f>
        <v/>
      </c>
    </row>
    <row r="204">
      <c r="A204" t="n">
        <v>208</v>
      </c>
      <c r="B204" s="10">
        <f>MIN(DATE(YEAR($E$3),MONTH($E$3)+A204*$E$4,MIN($E$5,DAY(EOMONTH(DATE(YEAR($E$3),MONTH($E$3)+A204*$E$4,1),0)))),$B$6)</f>
        <v/>
      </c>
      <c r="C204" t="inlineStr">
        <is>
          <t>проценты, тело</t>
        </is>
      </c>
      <c r="D204">
        <f>B204-B203</f>
        <v/>
      </c>
      <c r="E204" s="11">
        <f>IF(YEAR(B203)=YEAR(B204),(B204-B203)/(DATE(YEAR(B203)+1,1,1)-DATE(YEAR(B203),1,1)),(DATE(YEAR(B203)+1,1,1)-B203)/(DATE(YEAR(B203)+1,1,1)-DATE(YEAR(B203),1,1))+(B204-DATE(YEAR(B204),1,1))/(DATE(YEAR(B204)+1,1,1)-DATE(YEAR(B204),1,1))+YEAR(B204)-YEAR(B203)-1)</f>
        <v/>
      </c>
      <c r="F204" s="8">
        <f>K203</f>
        <v/>
      </c>
      <c r="G204" s="7">
        <f>$B$10</f>
        <v/>
      </c>
      <c r="H204" s="8">
        <f>F204*G204*E204</f>
        <v/>
      </c>
      <c r="I204" s="8">
        <f>SUM(H204:H204)</f>
        <v/>
      </c>
      <c r="J204" s="8">
        <f>$B$7/$B$13</f>
        <v/>
      </c>
      <c r="K204" s="8">
        <f>F204-J204</f>
        <v/>
      </c>
    </row>
    <row r="205">
      <c r="A205" t="n">
        <v>209</v>
      </c>
      <c r="B205" s="10">
        <f>MIN(DATE(YEAR($E$3),MONTH($E$3)+A205*$E$4,MIN($E$5,DAY(EOMONTH(DATE(YEAR($E$3),MONTH($E$3)+A205*$E$4,1),0)))),$B$6)</f>
        <v/>
      </c>
      <c r="C205" t="inlineStr">
        <is>
          <t>проценты, тело</t>
        </is>
      </c>
      <c r="D205">
        <f>B205-B204</f>
        <v/>
      </c>
      <c r="E205" s="11">
        <f>IF(YEAR(B204)=YEAR(B205),(B205-B204)/(DATE(YEAR(B204)+1,1,1)-DATE(YEAR(B204),1,1)),(DATE(YEAR(B204)+1,1,1)-B204)/(DATE(YEAR(B204)+1,1,1)-DATE(YEAR(B204),1,1))+(B205-DATE(YEAR(B205),1,1))/(DATE(YEAR(B205)+1,1,1)-DATE(YEAR(B205),1,1))+YEAR(B205)-YEAR(B204)-1)</f>
        <v/>
      </c>
      <c r="F205" s="8">
        <f>K204</f>
        <v/>
      </c>
      <c r="G205" s="7">
        <f>$B$10</f>
        <v/>
      </c>
      <c r="H205" s="8">
        <f>F205*G205*E205</f>
        <v/>
      </c>
      <c r="I205" s="8">
        <f>SUM(H205:H205)</f>
        <v/>
      </c>
      <c r="J205" s="8">
        <f>$B$7/$B$13</f>
        <v/>
      </c>
      <c r="K205" s="8">
        <f>F205-J205</f>
        <v/>
      </c>
    </row>
    <row r="206">
      <c r="A206" t="n">
        <v>210</v>
      </c>
      <c r="B206" s="10">
        <f>MIN(DATE(YEAR($E$3),MONTH($E$3)+A206*$E$4,MIN($E$5,DAY(EOMONTH(DATE(YEAR($E$3),MONTH($E$3)+A206*$E$4,1),0)))),$B$6)</f>
        <v/>
      </c>
      <c r="C206" t="inlineStr">
        <is>
          <t>проценты, тело</t>
        </is>
      </c>
      <c r="D206">
        <f>B206-B205</f>
        <v/>
      </c>
      <c r="E206" s="11">
        <f>IF(YEAR(B205)=YEAR(B206),(B206-B205)/(DATE(YEAR(B205)+1,1,1)-DATE(YEAR(B205),1,1)),(DATE(YEAR(B205)+1,1,1)-B205)/(DATE(YEAR(B205)+1,1,1)-DATE(YEAR(B205),1,1))+(B206-DATE(YEAR(B206),1,1))/(DATE(YEAR(B206)+1,1,1)-DATE(YEAR(B206),1,1))+YEAR(B206)-YEAR(B205)-1)</f>
        <v/>
      </c>
      <c r="F206" s="8">
        <f>K205</f>
        <v/>
      </c>
      <c r="G206" s="7">
        <f>$B$10</f>
        <v/>
      </c>
      <c r="H206" s="8">
        <f>F206*G206*E206</f>
        <v/>
      </c>
      <c r="I206" s="8">
        <f>SUM(H206:H206)</f>
        <v/>
      </c>
      <c r="J206" s="8">
        <f>$B$7/$B$13</f>
        <v/>
      </c>
      <c r="K206" s="8">
        <f>F206-J206</f>
        <v/>
      </c>
    </row>
    <row r="207">
      <c r="A207" t="n">
        <v>211</v>
      </c>
      <c r="B207" s="10">
        <f>MIN(DATE(YEAR($E$3),MONTH($E$3)+A207*$E$4,MIN($E$5,DAY(EOMONTH(DATE(YEAR($E$3),MONTH($E$3)+A207*$E$4,1),0)))),$B$6)</f>
        <v/>
      </c>
      <c r="C207" t="inlineStr">
        <is>
          <t>проценты, тело</t>
        </is>
      </c>
      <c r="D207">
        <f>B207-B206</f>
        <v/>
      </c>
      <c r="E207" s="11">
        <f>IF(YEAR(B206)=YEAR(B207),(B207-B206)/(DATE(YEAR(B206)+1,1,1)-DATE(YEAR(B206),1,1)),(DATE(YEAR(B206)+1,1,1)-B206)/(DATE(YEAR(B206)+1,1,1)-DATE(YEAR(B206),1,1))+(B207-DATE(YEAR(B207),1,1))/(DATE(YEAR(B207)+1,1,1)-DATE(YEAR(B207),1,1))+YEAR(B207)-YEAR(B206)-1)</f>
        <v/>
      </c>
      <c r="F207" s="8">
        <f>K206</f>
        <v/>
      </c>
      <c r="G207" s="7">
        <f>$B$10</f>
        <v/>
      </c>
      <c r="H207" s="8">
        <f>F207*G207*E207</f>
        <v/>
      </c>
      <c r="I207" s="8">
        <f>SUM(H207:H207)</f>
        <v/>
      </c>
      <c r="J207" s="8">
        <f>$B$7/$B$13</f>
        <v/>
      </c>
      <c r="K207" s="8">
        <f>F207-J207</f>
        <v/>
      </c>
    </row>
    <row r="208">
      <c r="A208" t="n">
        <v>212</v>
      </c>
      <c r="B208" s="10">
        <f>MIN(DATE(YEAR($E$3),MONTH($E$3)+A208*$E$4,MIN($E$5,DAY(EOMONTH(DATE(YEAR($E$3),MONTH($E$3)+A208*$E$4,1),0)))),$B$6)</f>
        <v/>
      </c>
      <c r="C208" t="inlineStr">
        <is>
          <t>проценты, тело</t>
        </is>
      </c>
      <c r="D208">
        <f>B208-B207</f>
        <v/>
      </c>
      <c r="E208" s="11">
        <f>IF(YEAR(B207)=YEAR(B208),(B208-B207)/(DATE(YEAR(B207)+1,1,1)-DATE(YEAR(B207),1,1)),(DATE(YEAR(B207)+1,1,1)-B207)/(DATE(YEAR(B207)+1,1,1)-DATE(YEAR(B207),1,1))+(B208-DATE(YEAR(B208),1,1))/(DATE(YEAR(B208)+1,1,1)-DATE(YEAR(B208),1,1))+YEAR(B208)-YEAR(B207)-1)</f>
        <v/>
      </c>
      <c r="F208" s="8">
        <f>K207</f>
        <v/>
      </c>
      <c r="G208" s="7">
        <f>$B$10</f>
        <v/>
      </c>
      <c r="H208" s="8">
        <f>F208*G208*E208</f>
        <v/>
      </c>
      <c r="I208" s="8">
        <f>SUM(H208:H208)</f>
        <v/>
      </c>
      <c r="J208" s="8">
        <f>$B$7/$B$13</f>
        <v/>
      </c>
      <c r="K208" s="8">
        <f>F208-J208</f>
        <v/>
      </c>
    </row>
    <row r="209">
      <c r="A209" t="n">
        <v>213</v>
      </c>
      <c r="B209" s="10">
        <f>MIN(DATE(YEAR($E$3),MONTH($E$3)+A209*$E$4,MIN($E$5,DAY(EOMONTH(DATE(YEAR($E$3),MONTH($E$3)+A209*$E$4,1),0)))),$B$6)</f>
        <v/>
      </c>
      <c r="C209" t="inlineStr">
        <is>
          <t>проценты, тело</t>
        </is>
      </c>
      <c r="D209">
        <f>B209-B208</f>
        <v/>
      </c>
      <c r="E209" s="11">
        <f>IF(YEAR(B208)=YEAR(B209),(B209-B208)/(DATE(YEAR(B208)+1,1,1)-DATE(YEAR(B208),1,1)),(DATE(YEAR(B208)+1,1,1)-B208)/(DATE(YEAR(B208)+1,1,1)-DATE(YEAR(B208),1,1))+(B209-DATE(YEAR(B209),1,1))/(DATE(YEAR(B209)+1,1,1)-DATE(YEAR(B209),1,1))+YEAR(B209)-YEAR(B208)-1)</f>
        <v/>
      </c>
      <c r="F209" s="8">
        <f>K208</f>
        <v/>
      </c>
      <c r="G209" s="7">
        <f>$B$10</f>
        <v/>
      </c>
      <c r="H209" s="8">
        <f>F209*G209*E209</f>
        <v/>
      </c>
      <c r="I209" s="8">
        <f>SUM(H209:H209)</f>
        <v/>
      </c>
      <c r="J209" s="8">
        <f>$B$7/$B$13</f>
        <v/>
      </c>
      <c r="K209" s="8">
        <f>F209-J209</f>
        <v/>
      </c>
    </row>
    <row r="210">
      <c r="A210" t="n">
        <v>214</v>
      </c>
      <c r="B210" s="10">
        <f>MIN(DATE(YEAR($E$3),MONTH($E$3)+A210*$E$4,MIN($E$5,DAY(EOMONTH(DATE(YEAR($E$3),MONTH($E$3)+A210*$E$4,1),0)))),$B$6)</f>
        <v/>
      </c>
      <c r="C210" t="inlineStr">
        <is>
          <t>проценты, тело</t>
        </is>
      </c>
      <c r="D210">
        <f>B210-B209</f>
        <v/>
      </c>
      <c r="E210" s="11">
        <f>IF(YEAR(B209)=YEAR(B210),(B210-B209)/(DATE(YEAR(B209)+1,1,1)-DATE(YEAR(B209),1,1)),(DATE(YEAR(B209)+1,1,1)-B209)/(DATE(YEAR(B209)+1,1,1)-DATE(YEAR(B209),1,1))+(B210-DATE(YEAR(B210),1,1))/(DATE(YEAR(B210)+1,1,1)-DATE(YEAR(B210),1,1))+YEAR(B210)-YEAR(B209)-1)</f>
        <v/>
      </c>
      <c r="F210" s="8">
        <f>K209</f>
        <v/>
      </c>
      <c r="G210" s="7">
        <f>$B$10</f>
        <v/>
      </c>
      <c r="H210" s="8">
        <f>F210*G210*E210</f>
        <v/>
      </c>
      <c r="I210" s="8">
        <f>SUM(H210:H210)</f>
        <v/>
      </c>
      <c r="J210" s="8">
        <f>$B$7/$B$13</f>
        <v/>
      </c>
      <c r="K210" s="8">
        <f>F210-J210</f>
        <v/>
      </c>
    </row>
    <row r="211">
      <c r="A211" t="n">
        <v>215</v>
      </c>
      <c r="B211" s="10">
        <f>MIN(DATE(YEAR($E$3),MONTH($E$3)+A211*$E$4,MIN($E$5,DAY(EOMONTH(DATE(YEAR($E$3),MONTH($E$3)+A211*$E$4,1),0)))),$B$6)</f>
        <v/>
      </c>
      <c r="C211" t="inlineStr">
        <is>
          <t>проценты, тело</t>
        </is>
      </c>
      <c r="D211">
        <f>B211-B210</f>
        <v/>
      </c>
      <c r="E211" s="11">
        <f>IF(YEAR(B210)=YEAR(B211),(B211-B210)/(DATE(YEAR(B210)+1,1,1)-DATE(YEAR(B210),1,1)),(DATE(YEAR(B210)+1,1,1)-B210)/(DATE(YEAR(B210)+1,1,1)-DATE(YEAR(B210),1,1))+(B211-DATE(YEAR(B211),1,1))/(DATE(YEAR(B211)+1,1,1)-DATE(YEAR(B211),1,1))+YEAR(B211)-YEAR(B210)-1)</f>
        <v/>
      </c>
      <c r="F211" s="8">
        <f>K210</f>
        <v/>
      </c>
      <c r="G211" s="7">
        <f>$B$10</f>
        <v/>
      </c>
      <c r="H211" s="8">
        <f>F211*G211*E211</f>
        <v/>
      </c>
      <c r="I211" s="8">
        <f>SUM(H211:H211)</f>
        <v/>
      </c>
      <c r="J211" s="8">
        <f>$B$7/$B$13</f>
        <v/>
      </c>
      <c r="K211" s="8">
        <f>F211-J211</f>
        <v/>
      </c>
    </row>
    <row r="212">
      <c r="A212" t="n">
        <v>216</v>
      </c>
      <c r="B212" s="10">
        <f>MIN(DATE(YEAR($E$3),MONTH($E$3)+A212*$E$4,MIN($E$5,DAY(EOMONTH(DATE(YEAR($E$3),MONTH($E$3)+A212*$E$4,1),0)))),$B$6)</f>
        <v/>
      </c>
      <c r="C212" t="inlineStr">
        <is>
          <t>проценты, тело</t>
        </is>
      </c>
      <c r="D212">
        <f>B212-B211</f>
        <v/>
      </c>
      <c r="E212" s="11">
        <f>IF(YEAR(B211)=YEAR(B212),(B212-B211)/(DATE(YEAR(B211)+1,1,1)-DATE(YEAR(B211),1,1)),(DATE(YEAR(B211)+1,1,1)-B211)/(DATE(YEAR(B211)+1,1,1)-DATE(YEAR(B211),1,1))+(B212-DATE(YEAR(B212),1,1))/(DATE(YEAR(B212)+1,1,1)-DATE(YEAR(B212),1,1))+YEAR(B212)-YEAR(B211)-1)</f>
        <v/>
      </c>
      <c r="F212" s="8">
        <f>K211</f>
        <v/>
      </c>
      <c r="G212" s="7">
        <f>$B$10</f>
        <v/>
      </c>
      <c r="H212" s="8">
        <f>F212*G212*E212</f>
        <v/>
      </c>
      <c r="I212" s="8">
        <f>SUM(H212:H212)</f>
        <v/>
      </c>
      <c r="J212" s="8">
        <f>$B$7/$B$13</f>
        <v/>
      </c>
      <c r="K212" s="8">
        <f>F212-J212</f>
        <v/>
      </c>
    </row>
    <row r="213">
      <c r="A213" t="n">
        <v>217</v>
      </c>
      <c r="B213" s="10">
        <f>MIN(DATE(YEAR($E$3),MONTH($E$3)+A213*$E$4,MIN($E$5,DAY(EOMONTH(DATE(YEAR($E$3),MONTH($E$3)+A213*$E$4,1),0)))),$B$6)</f>
        <v/>
      </c>
      <c r="C213" t="inlineStr">
        <is>
          <t>проценты, тело</t>
        </is>
      </c>
      <c r="D213">
        <f>B213-B212</f>
        <v/>
      </c>
      <c r="E213" s="11">
        <f>IF(YEAR(B212)=YEAR(B213),(B213-B212)/(DATE(YEAR(B212)+1,1,1)-DATE(YEAR(B212),1,1)),(DATE(YEAR(B212)+1,1,1)-B212)/(DATE(YEAR(B212)+1,1,1)-DATE(YEAR(B212),1,1))+(B213-DATE(YEAR(B213),1,1))/(DATE(YEAR(B213)+1,1,1)-DATE(YEAR(B213),1,1))+YEAR(B213)-YEAR(B212)-1)</f>
        <v/>
      </c>
      <c r="F213" s="8">
        <f>K212</f>
        <v/>
      </c>
      <c r="G213" s="7">
        <f>$B$10</f>
        <v/>
      </c>
      <c r="H213" s="8">
        <f>F213*G213*E213</f>
        <v/>
      </c>
      <c r="I213" s="8">
        <f>SUM(H213:H213)</f>
        <v/>
      </c>
      <c r="J213" s="8">
        <f>$B$7/$B$13</f>
        <v/>
      </c>
      <c r="K213" s="8">
        <f>F213-J213</f>
        <v/>
      </c>
    </row>
    <row r="214">
      <c r="A214" t="n">
        <v>218</v>
      </c>
      <c r="B214" s="10">
        <f>MIN(DATE(YEAR($E$3),MONTH($E$3)+A214*$E$4,MIN($E$5,DAY(EOMONTH(DATE(YEAR($E$3),MONTH($E$3)+A214*$E$4,1),0)))),$B$6)</f>
        <v/>
      </c>
      <c r="C214" t="inlineStr">
        <is>
          <t>проценты, тело</t>
        </is>
      </c>
      <c r="D214">
        <f>B214-B213</f>
        <v/>
      </c>
      <c r="E214" s="11">
        <f>IF(YEAR(B213)=YEAR(B214),(B214-B213)/(DATE(YEAR(B213)+1,1,1)-DATE(YEAR(B213),1,1)),(DATE(YEAR(B213)+1,1,1)-B213)/(DATE(YEAR(B213)+1,1,1)-DATE(YEAR(B213),1,1))+(B214-DATE(YEAR(B214),1,1))/(DATE(YEAR(B214)+1,1,1)-DATE(YEAR(B214),1,1))+YEAR(B214)-YEAR(B213)-1)</f>
        <v/>
      </c>
      <c r="F214" s="8">
        <f>K213</f>
        <v/>
      </c>
      <c r="G214" s="7">
        <f>$B$10</f>
        <v/>
      </c>
      <c r="H214" s="8">
        <f>F214*G214*E214</f>
        <v/>
      </c>
      <c r="I214" s="8">
        <f>SUM(H214:H214)</f>
        <v/>
      </c>
      <c r="J214" s="8">
        <f>$B$7/$B$13</f>
        <v/>
      </c>
      <c r="K214" s="8">
        <f>F214-J214</f>
        <v/>
      </c>
    </row>
    <row r="215">
      <c r="A215" t="n">
        <v>219</v>
      </c>
      <c r="B215" s="10">
        <f>MIN(DATE(YEAR($E$3),MONTH($E$3)+A215*$E$4,MIN($E$5,DAY(EOMONTH(DATE(YEAR($E$3),MONTH($E$3)+A215*$E$4,1),0)))),$B$6)</f>
        <v/>
      </c>
      <c r="C215" t="inlineStr">
        <is>
          <t>проценты, тело</t>
        </is>
      </c>
      <c r="D215">
        <f>B215-B214</f>
        <v/>
      </c>
      <c r="E215" s="11">
        <f>IF(YEAR(B214)=YEAR(B215),(B215-B214)/(DATE(YEAR(B214)+1,1,1)-DATE(YEAR(B214),1,1)),(DATE(YEAR(B214)+1,1,1)-B214)/(DATE(YEAR(B214)+1,1,1)-DATE(YEAR(B214),1,1))+(B215-DATE(YEAR(B215),1,1))/(DATE(YEAR(B215)+1,1,1)-DATE(YEAR(B215),1,1))+YEAR(B215)-YEAR(B214)-1)</f>
        <v/>
      </c>
      <c r="F215" s="8">
        <f>K214</f>
        <v/>
      </c>
      <c r="G215" s="7">
        <f>$B$10</f>
        <v/>
      </c>
      <c r="H215" s="8">
        <f>F215*G215*E215</f>
        <v/>
      </c>
      <c r="I215" s="8">
        <f>SUM(H215:H215)</f>
        <v/>
      </c>
      <c r="J215" s="8">
        <f>$B$7/$B$13</f>
        <v/>
      </c>
      <c r="K215" s="8">
        <f>F215-J215</f>
        <v/>
      </c>
    </row>
    <row r="216">
      <c r="A216" t="n">
        <v>220</v>
      </c>
      <c r="B216" s="10">
        <f>MIN(DATE(YEAR($E$3),MONTH($E$3)+A216*$E$4,MIN($E$5,DAY(EOMONTH(DATE(YEAR($E$3),MONTH($E$3)+A216*$E$4,1),0)))),$B$6)</f>
        <v/>
      </c>
      <c r="C216" t="inlineStr">
        <is>
          <t>проценты, тело</t>
        </is>
      </c>
      <c r="D216">
        <f>B216-B215</f>
        <v/>
      </c>
      <c r="E216" s="11">
        <f>IF(YEAR(B215)=YEAR(B216),(B216-B215)/(DATE(YEAR(B215)+1,1,1)-DATE(YEAR(B215),1,1)),(DATE(YEAR(B215)+1,1,1)-B215)/(DATE(YEAR(B215)+1,1,1)-DATE(YEAR(B215),1,1))+(B216-DATE(YEAR(B216),1,1))/(DATE(YEAR(B216)+1,1,1)-DATE(YEAR(B216),1,1))+YEAR(B216)-YEAR(B215)-1)</f>
        <v/>
      </c>
      <c r="F216" s="8">
        <f>K215</f>
        <v/>
      </c>
      <c r="G216" s="7">
        <f>$B$10</f>
        <v/>
      </c>
      <c r="H216" s="8">
        <f>F216*G216*E216</f>
        <v/>
      </c>
      <c r="I216" s="8">
        <f>SUM(H216:H216)</f>
        <v/>
      </c>
      <c r="J216" s="8">
        <f>$B$7/$B$13</f>
        <v/>
      </c>
      <c r="K216" s="8">
        <f>F216-J216</f>
        <v/>
      </c>
    </row>
    <row r="217">
      <c r="A217" t="n">
        <v>221</v>
      </c>
      <c r="B217" s="10">
        <f>MIN(DATE(YEAR($E$3),MONTH($E$3)+A217*$E$4,MIN($E$5,DAY(EOMONTH(DATE(YEAR($E$3),MONTH($E$3)+A217*$E$4,1),0)))),$B$6)</f>
        <v/>
      </c>
      <c r="C217" t="inlineStr">
        <is>
          <t>проценты, тело</t>
        </is>
      </c>
      <c r="D217">
        <f>B217-B216</f>
        <v/>
      </c>
      <c r="E217" s="11">
        <f>IF(YEAR(B216)=YEAR(B217),(B217-B216)/(DATE(YEAR(B216)+1,1,1)-DATE(YEAR(B216),1,1)),(DATE(YEAR(B216)+1,1,1)-B216)/(DATE(YEAR(B216)+1,1,1)-DATE(YEAR(B216),1,1))+(B217-DATE(YEAR(B217),1,1))/(DATE(YEAR(B217)+1,1,1)-DATE(YEAR(B217),1,1))+YEAR(B217)-YEAR(B216)-1)</f>
        <v/>
      </c>
      <c r="F217" s="8">
        <f>K216</f>
        <v/>
      </c>
      <c r="G217" s="7">
        <f>$B$10</f>
        <v/>
      </c>
      <c r="H217" s="8">
        <f>F217*G217*E217</f>
        <v/>
      </c>
      <c r="I217" s="8">
        <f>SUM(H217:H217)</f>
        <v/>
      </c>
      <c r="J217" s="8">
        <f>$B$7/$B$13</f>
        <v/>
      </c>
      <c r="K217" s="8">
        <f>F217-J217</f>
        <v/>
      </c>
    </row>
    <row r="218">
      <c r="A218" t="n">
        <v>222</v>
      </c>
      <c r="B218" s="10">
        <f>MIN(DATE(YEAR($E$3),MONTH($E$3)+A218*$E$4,MIN($E$5,DAY(EOMONTH(DATE(YEAR($E$3),MONTH($E$3)+A218*$E$4,1),0)))),$B$6)</f>
        <v/>
      </c>
      <c r="C218" t="inlineStr">
        <is>
          <t>проценты, тело</t>
        </is>
      </c>
      <c r="D218">
        <f>B218-B217</f>
        <v/>
      </c>
      <c r="E218" s="11">
        <f>IF(YEAR(B217)=YEAR(B218),(B218-B217)/(DATE(YEAR(B217)+1,1,1)-DATE(YEAR(B217),1,1)),(DATE(YEAR(B217)+1,1,1)-B217)/(DATE(YEAR(B217)+1,1,1)-DATE(YEAR(B217),1,1))+(B218-DATE(YEAR(B218),1,1))/(DATE(YEAR(B218)+1,1,1)-DATE(YEAR(B218),1,1))+YEAR(B218)-YEAR(B217)-1)</f>
        <v/>
      </c>
      <c r="F218" s="8">
        <f>K217</f>
        <v/>
      </c>
      <c r="G218" s="7">
        <f>$B$10</f>
        <v/>
      </c>
      <c r="H218" s="8">
        <f>F218*G218*E218</f>
        <v/>
      </c>
      <c r="I218" s="8">
        <f>SUM(H218:H218)</f>
        <v/>
      </c>
      <c r="J218" s="8">
        <f>$B$7/$B$13</f>
        <v/>
      </c>
      <c r="K218" s="8">
        <f>F218-J218</f>
        <v/>
      </c>
    </row>
    <row r="219">
      <c r="A219" t="n">
        <v>223</v>
      </c>
      <c r="B219" s="10">
        <f>MIN(DATE(YEAR($E$3),MONTH($E$3)+A219*$E$4,MIN($E$5,DAY(EOMONTH(DATE(YEAR($E$3),MONTH($E$3)+A219*$E$4,1),0)))),$B$6)</f>
        <v/>
      </c>
      <c r="C219" t="inlineStr">
        <is>
          <t>проценты, тело</t>
        </is>
      </c>
      <c r="D219">
        <f>B219-B218</f>
        <v/>
      </c>
      <c r="E219" s="11">
        <f>IF(YEAR(B218)=YEAR(B219),(B219-B218)/(DATE(YEAR(B218)+1,1,1)-DATE(YEAR(B218),1,1)),(DATE(YEAR(B218)+1,1,1)-B218)/(DATE(YEAR(B218)+1,1,1)-DATE(YEAR(B218),1,1))+(B219-DATE(YEAR(B219),1,1))/(DATE(YEAR(B219)+1,1,1)-DATE(YEAR(B219),1,1))+YEAR(B219)-YEAR(B218)-1)</f>
        <v/>
      </c>
      <c r="F219" s="8">
        <f>K218</f>
        <v/>
      </c>
      <c r="G219" s="7">
        <f>$B$10</f>
        <v/>
      </c>
      <c r="H219" s="8">
        <f>F219*G219*E219</f>
        <v/>
      </c>
      <c r="I219" s="8">
        <f>SUM(H219:H219)</f>
        <v/>
      </c>
      <c r="J219" s="8">
        <f>$B$7/$B$13</f>
        <v/>
      </c>
      <c r="K219" s="8">
        <f>F219-J219</f>
        <v/>
      </c>
    </row>
    <row r="220">
      <c r="A220" t="n">
        <v>224</v>
      </c>
      <c r="B220" s="10">
        <f>MIN(DATE(YEAR($E$3),MONTH($E$3)+A220*$E$4,MIN($E$5,DAY(EOMONTH(DATE(YEAR($E$3),MONTH($E$3)+A220*$E$4,1),0)))),$B$6)</f>
        <v/>
      </c>
      <c r="C220" t="inlineStr">
        <is>
          <t>проценты, тело</t>
        </is>
      </c>
      <c r="D220">
        <f>B220-B219</f>
        <v/>
      </c>
      <c r="E220" s="11">
        <f>IF(YEAR(B219)=YEAR(B220),(B220-B219)/(DATE(YEAR(B219)+1,1,1)-DATE(YEAR(B219),1,1)),(DATE(YEAR(B219)+1,1,1)-B219)/(DATE(YEAR(B219)+1,1,1)-DATE(YEAR(B219),1,1))+(B220-DATE(YEAR(B220),1,1))/(DATE(YEAR(B220)+1,1,1)-DATE(YEAR(B220),1,1))+YEAR(B220)-YEAR(B219)-1)</f>
        <v/>
      </c>
      <c r="F220" s="8">
        <f>K219</f>
        <v/>
      </c>
      <c r="G220" s="7">
        <f>$B$10</f>
        <v/>
      </c>
      <c r="H220" s="8">
        <f>F220*G220*E220</f>
        <v/>
      </c>
      <c r="I220" s="8">
        <f>SUM(H220:H220)</f>
        <v/>
      </c>
      <c r="J220" s="8">
        <f>$B$7/$B$13</f>
        <v/>
      </c>
      <c r="K220" s="8">
        <f>F220-J220</f>
        <v/>
      </c>
    </row>
    <row r="221">
      <c r="A221" t="n">
        <v>225</v>
      </c>
      <c r="B221" s="10">
        <f>MIN(DATE(YEAR($E$3),MONTH($E$3)+A221*$E$4,MIN($E$5,DAY(EOMONTH(DATE(YEAR($E$3),MONTH($E$3)+A221*$E$4,1),0)))),$B$6)</f>
        <v/>
      </c>
      <c r="C221" t="inlineStr">
        <is>
          <t>проценты, тело</t>
        </is>
      </c>
      <c r="D221">
        <f>B221-B220</f>
        <v/>
      </c>
      <c r="E221" s="11">
        <f>IF(YEAR(B220)=YEAR(B221),(B221-B220)/(DATE(YEAR(B220)+1,1,1)-DATE(YEAR(B220),1,1)),(DATE(YEAR(B220)+1,1,1)-B220)/(DATE(YEAR(B220)+1,1,1)-DATE(YEAR(B220),1,1))+(B221-DATE(YEAR(B221),1,1))/(DATE(YEAR(B221)+1,1,1)-DATE(YEAR(B221),1,1))+YEAR(B221)-YEAR(B220)-1)</f>
        <v/>
      </c>
      <c r="F221" s="8">
        <f>K220</f>
        <v/>
      </c>
      <c r="G221" s="7">
        <f>$B$10</f>
        <v/>
      </c>
      <c r="H221" s="8">
        <f>F221*G221*E221</f>
        <v/>
      </c>
      <c r="I221" s="8">
        <f>SUM(H221:H221)</f>
        <v/>
      </c>
      <c r="J221" s="8">
        <f>$B$7/$B$13</f>
        <v/>
      </c>
      <c r="K221" s="8">
        <f>F221-J221</f>
        <v/>
      </c>
    </row>
    <row r="222">
      <c r="A222" t="n">
        <v>226</v>
      </c>
      <c r="B222" s="10">
        <f>MIN(DATE(YEAR($E$3),MONTH($E$3)+A222*$E$4,MIN($E$5,DAY(EOMONTH(DATE(YEAR($E$3),MONTH($E$3)+A222*$E$4,1),0)))),$B$6)</f>
        <v/>
      </c>
      <c r="C222" t="inlineStr">
        <is>
          <t>проценты, тело</t>
        </is>
      </c>
      <c r="D222">
        <f>B222-B221</f>
        <v/>
      </c>
      <c r="E222" s="11">
        <f>IF(YEAR(B221)=YEAR(B222),(B222-B221)/(DATE(YEAR(B221)+1,1,1)-DATE(YEAR(B221),1,1)),(DATE(YEAR(B221)+1,1,1)-B221)/(DATE(YEAR(B221)+1,1,1)-DATE(YEAR(B221),1,1))+(B222-DATE(YEAR(B222),1,1))/(DATE(YEAR(B222)+1,1,1)-DATE(YEAR(B222),1,1))+YEAR(B222)-YEAR(B221)-1)</f>
        <v/>
      </c>
      <c r="F222" s="8">
        <f>K221</f>
        <v/>
      </c>
      <c r="G222" s="7">
        <f>$B$10</f>
        <v/>
      </c>
      <c r="H222" s="8">
        <f>F222*G222*E222</f>
        <v/>
      </c>
      <c r="I222" s="8">
        <f>SUM(H222:H222)</f>
        <v/>
      </c>
      <c r="J222" s="8">
        <f>$B$7/$B$13</f>
        <v/>
      </c>
      <c r="K222" s="8">
        <f>F222-J222</f>
        <v/>
      </c>
    </row>
    <row r="223">
      <c r="A223" t="n">
        <v>227</v>
      </c>
      <c r="B223" s="10">
        <f>MIN(DATE(YEAR($E$3),MONTH($E$3)+A223*$E$4,MIN($E$5,DAY(EOMONTH(DATE(YEAR($E$3),MONTH($E$3)+A223*$E$4,1),0)))),$B$6)</f>
        <v/>
      </c>
      <c r="C223" t="inlineStr">
        <is>
          <t>проценты, тело</t>
        </is>
      </c>
      <c r="D223">
        <f>B223-B222</f>
        <v/>
      </c>
      <c r="E223" s="11">
        <f>IF(YEAR(B222)=YEAR(B223),(B223-B222)/(DATE(YEAR(B222)+1,1,1)-DATE(YEAR(B222),1,1)),(DATE(YEAR(B222)+1,1,1)-B222)/(DATE(YEAR(B222)+1,1,1)-DATE(YEAR(B222),1,1))+(B223-DATE(YEAR(B223),1,1))/(DATE(YEAR(B223)+1,1,1)-DATE(YEAR(B223),1,1))+YEAR(B223)-YEAR(B222)-1)</f>
        <v/>
      </c>
      <c r="F223" s="8">
        <f>K222</f>
        <v/>
      </c>
      <c r="G223" s="7">
        <f>$B$10</f>
        <v/>
      </c>
      <c r="H223" s="8">
        <f>F223*G223*E223</f>
        <v/>
      </c>
      <c r="I223" s="8">
        <f>SUM(H223:H223)</f>
        <v/>
      </c>
      <c r="J223" s="8">
        <f>$B$7/$B$13</f>
        <v/>
      </c>
      <c r="K223" s="8">
        <f>F223-J223</f>
        <v/>
      </c>
    </row>
    <row r="224">
      <c r="A224" t="n">
        <v>228</v>
      </c>
      <c r="B224" s="10">
        <f>MIN(DATE(YEAR($E$3),MONTH($E$3)+A224*$E$4,MIN($E$5,DAY(EOMONTH(DATE(YEAR($E$3),MONTH($E$3)+A224*$E$4,1),0)))),$B$6)</f>
        <v/>
      </c>
      <c r="C224" t="inlineStr">
        <is>
          <t>проценты, тело</t>
        </is>
      </c>
      <c r="D224">
        <f>B224-B223</f>
        <v/>
      </c>
      <c r="E224" s="11">
        <f>IF(YEAR(B223)=YEAR(B224),(B224-B223)/(DATE(YEAR(B223)+1,1,1)-DATE(YEAR(B223),1,1)),(DATE(YEAR(B223)+1,1,1)-B223)/(DATE(YEAR(B223)+1,1,1)-DATE(YEAR(B223),1,1))+(B224-DATE(YEAR(B224),1,1))/(DATE(YEAR(B224)+1,1,1)-DATE(YEAR(B224),1,1))+YEAR(B224)-YEAR(B223)-1)</f>
        <v/>
      </c>
      <c r="F224" s="8">
        <f>K223</f>
        <v/>
      </c>
      <c r="G224" s="7">
        <f>$B$10</f>
        <v/>
      </c>
      <c r="H224" s="8">
        <f>F224*G224*E224</f>
        <v/>
      </c>
      <c r="I224" s="8">
        <f>SUM(H224:H224)</f>
        <v/>
      </c>
      <c r="J224" s="8">
        <f>$B$7/$B$13</f>
        <v/>
      </c>
      <c r="K224" s="8">
        <f>F224-J224</f>
        <v/>
      </c>
    </row>
    <row r="225">
      <c r="A225" t="n">
        <v>229</v>
      </c>
      <c r="B225" s="10">
        <f>MIN(DATE(YEAR($E$3),MONTH($E$3)+A225*$E$4,MIN($E$5,DAY(EOMONTH(DATE(YEAR($E$3),MONTH($E$3)+A225*$E$4,1),0)))),$B$6)</f>
        <v/>
      </c>
      <c r="C225" t="inlineStr">
        <is>
          <t>проценты, тело</t>
        </is>
      </c>
      <c r="D225">
        <f>B225-B224</f>
        <v/>
      </c>
      <c r="E225" s="11">
        <f>IF(YEAR(B224)=YEAR(B225),(B225-B224)/(DATE(YEAR(B224)+1,1,1)-DATE(YEAR(B224),1,1)),(DATE(YEAR(B224)+1,1,1)-B224)/(DATE(YEAR(B224)+1,1,1)-DATE(YEAR(B224),1,1))+(B225-DATE(YEAR(B225),1,1))/(DATE(YEAR(B225)+1,1,1)-DATE(YEAR(B225),1,1))+YEAR(B225)-YEAR(B224)-1)</f>
        <v/>
      </c>
      <c r="F225" s="8">
        <f>K224</f>
        <v/>
      </c>
      <c r="G225" s="7">
        <f>$B$10</f>
        <v/>
      </c>
      <c r="H225" s="8">
        <f>F225*G225*E225</f>
        <v/>
      </c>
      <c r="I225" s="8">
        <f>SUM(H225:H225)</f>
        <v/>
      </c>
      <c r="J225" s="8">
        <f>$B$7/$B$13</f>
        <v/>
      </c>
      <c r="K225" s="8">
        <f>F225-J225</f>
        <v/>
      </c>
    </row>
    <row r="226">
      <c r="A226" t="n">
        <v>230</v>
      </c>
      <c r="B226" s="10">
        <f>MIN(DATE(YEAR($E$3),MONTH($E$3)+A226*$E$4,MIN($E$5,DAY(EOMONTH(DATE(YEAR($E$3),MONTH($E$3)+A226*$E$4,1),0)))),$B$6)</f>
        <v/>
      </c>
      <c r="C226" t="inlineStr">
        <is>
          <t>проценты, тело</t>
        </is>
      </c>
      <c r="D226">
        <f>B226-B225</f>
        <v/>
      </c>
      <c r="E226" s="11">
        <f>IF(YEAR(B225)=YEAR(B226),(B226-B225)/(DATE(YEAR(B225)+1,1,1)-DATE(YEAR(B225),1,1)),(DATE(YEAR(B225)+1,1,1)-B225)/(DATE(YEAR(B225)+1,1,1)-DATE(YEAR(B225),1,1))+(B226-DATE(YEAR(B226),1,1))/(DATE(YEAR(B226)+1,1,1)-DATE(YEAR(B226),1,1))+YEAR(B226)-YEAR(B225)-1)</f>
        <v/>
      </c>
      <c r="F226" s="8">
        <f>K225</f>
        <v/>
      </c>
      <c r="G226" s="7">
        <f>$B$10</f>
        <v/>
      </c>
      <c r="H226" s="8">
        <f>F226*G226*E226</f>
        <v/>
      </c>
      <c r="I226" s="8">
        <f>SUM(H226:H226)</f>
        <v/>
      </c>
      <c r="J226" s="8">
        <f>$B$7/$B$13</f>
        <v/>
      </c>
      <c r="K226" s="8">
        <f>F226-J226</f>
        <v/>
      </c>
    </row>
    <row r="227">
      <c r="A227" t="n">
        <v>231</v>
      </c>
      <c r="B227" s="10">
        <f>MIN(DATE(YEAR($E$3),MONTH($E$3)+A227*$E$4,MIN($E$5,DAY(EOMONTH(DATE(YEAR($E$3),MONTH($E$3)+A227*$E$4,1),0)))),$B$6)</f>
        <v/>
      </c>
      <c r="C227" t="inlineStr">
        <is>
          <t>проценты, тело</t>
        </is>
      </c>
      <c r="D227">
        <f>B227-B226</f>
        <v/>
      </c>
      <c r="E227" s="11">
        <f>IF(YEAR(B226)=YEAR(B227),(B227-B226)/(DATE(YEAR(B226)+1,1,1)-DATE(YEAR(B226),1,1)),(DATE(YEAR(B226)+1,1,1)-B226)/(DATE(YEAR(B226)+1,1,1)-DATE(YEAR(B226),1,1))+(B227-DATE(YEAR(B227),1,1))/(DATE(YEAR(B227)+1,1,1)-DATE(YEAR(B227),1,1))+YEAR(B227)-YEAR(B226)-1)</f>
        <v/>
      </c>
      <c r="F227" s="8">
        <f>K226</f>
        <v/>
      </c>
      <c r="G227" s="7">
        <f>$B$10</f>
        <v/>
      </c>
      <c r="H227" s="8">
        <f>F227*G227*E227</f>
        <v/>
      </c>
      <c r="I227" s="8">
        <f>SUM(H227:H227)</f>
        <v/>
      </c>
      <c r="J227" s="8">
        <f>$B$7/$B$13</f>
        <v/>
      </c>
      <c r="K227" s="8">
        <f>F227-J227</f>
        <v/>
      </c>
    </row>
    <row r="228">
      <c r="A228" t="n">
        <v>232</v>
      </c>
      <c r="B228" s="10">
        <f>MIN(DATE(YEAR($E$3),MONTH($E$3)+A228*$E$4,MIN($E$5,DAY(EOMONTH(DATE(YEAR($E$3),MONTH($E$3)+A228*$E$4,1),0)))),$B$6)</f>
        <v/>
      </c>
      <c r="C228" t="inlineStr">
        <is>
          <t>проценты, тело</t>
        </is>
      </c>
      <c r="D228">
        <f>B228-B227</f>
        <v/>
      </c>
      <c r="E228" s="11">
        <f>IF(YEAR(B227)=YEAR(B228),(B228-B227)/(DATE(YEAR(B227)+1,1,1)-DATE(YEAR(B227),1,1)),(DATE(YEAR(B227)+1,1,1)-B227)/(DATE(YEAR(B227)+1,1,1)-DATE(YEAR(B227),1,1))+(B228-DATE(YEAR(B228),1,1))/(DATE(YEAR(B228)+1,1,1)-DATE(YEAR(B228),1,1))+YEAR(B228)-YEAR(B227)-1)</f>
        <v/>
      </c>
      <c r="F228" s="8">
        <f>K227</f>
        <v/>
      </c>
      <c r="G228" s="7">
        <f>$B$10</f>
        <v/>
      </c>
      <c r="H228" s="8">
        <f>F228*G228*E228</f>
        <v/>
      </c>
      <c r="I228" s="8">
        <f>SUM(H228:H228)</f>
        <v/>
      </c>
      <c r="J228" s="8">
        <f>$B$7/$B$13</f>
        <v/>
      </c>
      <c r="K228" s="8">
        <f>F228-J228</f>
        <v/>
      </c>
    </row>
    <row r="229">
      <c r="A229" t="n">
        <v>233</v>
      </c>
      <c r="B229" s="10">
        <f>MIN(DATE(YEAR($E$3),MONTH($E$3)+A229*$E$4,MIN($E$5,DAY(EOMONTH(DATE(YEAR($E$3),MONTH($E$3)+A229*$E$4,1),0)))),$B$6)</f>
        <v/>
      </c>
      <c r="C229" t="inlineStr">
        <is>
          <t>проценты, тело</t>
        </is>
      </c>
      <c r="D229">
        <f>B229-B228</f>
        <v/>
      </c>
      <c r="E229" s="11">
        <f>IF(YEAR(B228)=YEAR(B229),(B229-B228)/(DATE(YEAR(B228)+1,1,1)-DATE(YEAR(B228),1,1)),(DATE(YEAR(B228)+1,1,1)-B228)/(DATE(YEAR(B228)+1,1,1)-DATE(YEAR(B228),1,1))+(B229-DATE(YEAR(B229),1,1))/(DATE(YEAR(B229)+1,1,1)-DATE(YEAR(B229),1,1))+YEAR(B229)-YEAR(B228)-1)</f>
        <v/>
      </c>
      <c r="F229" s="8">
        <f>K228</f>
        <v/>
      </c>
      <c r="G229" s="7">
        <f>$B$10</f>
        <v/>
      </c>
      <c r="H229" s="8">
        <f>F229*G229*E229</f>
        <v/>
      </c>
      <c r="I229" s="8">
        <f>SUM(H229:H229)</f>
        <v/>
      </c>
      <c r="J229" s="8">
        <f>$B$7/$B$13</f>
        <v/>
      </c>
      <c r="K229" s="8">
        <f>F229-J229</f>
        <v/>
      </c>
    </row>
    <row r="230">
      <c r="A230" t="n">
        <v>234</v>
      </c>
      <c r="B230" s="10">
        <f>MIN(DATE(YEAR($E$3),MONTH($E$3)+A230*$E$4,MIN($E$5,DAY(EOMONTH(DATE(YEAR($E$3),MONTH($E$3)+A230*$E$4,1),0)))),$B$6)</f>
        <v/>
      </c>
      <c r="C230" t="inlineStr">
        <is>
          <t>проценты, тело</t>
        </is>
      </c>
      <c r="D230">
        <f>B230-B229</f>
        <v/>
      </c>
      <c r="E230" s="11">
        <f>IF(YEAR(B229)=YEAR(B230),(B230-B229)/(DATE(YEAR(B229)+1,1,1)-DATE(YEAR(B229),1,1)),(DATE(YEAR(B229)+1,1,1)-B229)/(DATE(YEAR(B229)+1,1,1)-DATE(YEAR(B229),1,1))+(B230-DATE(YEAR(B230),1,1))/(DATE(YEAR(B230)+1,1,1)-DATE(YEAR(B230),1,1))+YEAR(B230)-YEAR(B229)-1)</f>
        <v/>
      </c>
      <c r="F230" s="8">
        <f>K229</f>
        <v/>
      </c>
      <c r="G230" s="7">
        <f>$B$10</f>
        <v/>
      </c>
      <c r="H230" s="8">
        <f>F230*G230*E230</f>
        <v/>
      </c>
      <c r="I230" s="8">
        <f>SUM(H230:H230)</f>
        <v/>
      </c>
      <c r="J230" s="8">
        <f>$B$7/$B$13</f>
        <v/>
      </c>
      <c r="K230" s="8">
        <f>F230-J230</f>
        <v/>
      </c>
    </row>
    <row r="231">
      <c r="A231" t="n">
        <v>235</v>
      </c>
      <c r="B231" s="10">
        <f>MIN(DATE(YEAR($E$3),MONTH($E$3)+A231*$E$4,MIN($E$5,DAY(EOMONTH(DATE(YEAR($E$3),MONTH($E$3)+A231*$E$4,1),0)))),$B$6)</f>
        <v/>
      </c>
      <c r="C231" t="inlineStr">
        <is>
          <t>проценты, тело</t>
        </is>
      </c>
      <c r="D231">
        <f>B231-B230</f>
        <v/>
      </c>
      <c r="E231" s="11">
        <f>IF(YEAR(B230)=YEAR(B231),(B231-B230)/(DATE(YEAR(B230)+1,1,1)-DATE(YEAR(B230),1,1)),(DATE(YEAR(B230)+1,1,1)-B230)/(DATE(YEAR(B230)+1,1,1)-DATE(YEAR(B230),1,1))+(B231-DATE(YEAR(B231),1,1))/(DATE(YEAR(B231)+1,1,1)-DATE(YEAR(B231),1,1))+YEAR(B231)-YEAR(B230)-1)</f>
        <v/>
      </c>
      <c r="F231" s="8">
        <f>K230</f>
        <v/>
      </c>
      <c r="G231" s="7">
        <f>$B$10</f>
        <v/>
      </c>
      <c r="H231" s="8">
        <f>F231*G231*E231</f>
        <v/>
      </c>
      <c r="I231" s="8">
        <f>SUM(H231:H231)</f>
        <v/>
      </c>
      <c r="J231" s="8">
        <f>$B$7/$B$13</f>
        <v/>
      </c>
      <c r="K231" s="8">
        <f>F231-J231</f>
        <v/>
      </c>
    </row>
    <row r="232">
      <c r="A232" t="n">
        <v>236</v>
      </c>
      <c r="B232" s="10">
        <f>MIN(DATE(YEAR($E$3),MONTH($E$3)+A232*$E$4,MIN($E$5,DAY(EOMONTH(DATE(YEAR($E$3),MONTH($E$3)+A232*$E$4,1),0)))),$B$6)</f>
        <v/>
      </c>
      <c r="C232" t="inlineStr">
        <is>
          <t>проценты, тело</t>
        </is>
      </c>
      <c r="D232">
        <f>B232-B231</f>
        <v/>
      </c>
      <c r="E232" s="11">
        <f>IF(YEAR(B231)=YEAR(B232),(B232-B231)/(DATE(YEAR(B231)+1,1,1)-DATE(YEAR(B231),1,1)),(DATE(YEAR(B231)+1,1,1)-B231)/(DATE(YEAR(B231)+1,1,1)-DATE(YEAR(B231),1,1))+(B232-DATE(YEAR(B232),1,1))/(DATE(YEAR(B232)+1,1,1)-DATE(YEAR(B232),1,1))+YEAR(B232)-YEAR(B231)-1)</f>
        <v/>
      </c>
      <c r="F232" s="8">
        <f>K231</f>
        <v/>
      </c>
      <c r="G232" s="7">
        <f>$B$10</f>
        <v/>
      </c>
      <c r="H232" s="8">
        <f>F232*G232*E232</f>
        <v/>
      </c>
      <c r="I232" s="8">
        <f>SUM(H232:H232)</f>
        <v/>
      </c>
      <c r="J232" s="8">
        <f>$B$7/$B$13</f>
        <v/>
      </c>
      <c r="K232" s="8">
        <f>F232-J232</f>
        <v/>
      </c>
    </row>
    <row r="233">
      <c r="A233" t="n">
        <v>237</v>
      </c>
      <c r="B233" s="10">
        <f>MIN(DATE(YEAR($E$3),MONTH($E$3)+A233*$E$4,MIN($E$5,DAY(EOMONTH(DATE(YEAR($E$3),MONTH($E$3)+A233*$E$4,1),0)))),$B$6)</f>
        <v/>
      </c>
      <c r="C233" t="inlineStr">
        <is>
          <t>проценты, тело</t>
        </is>
      </c>
      <c r="D233">
        <f>B233-B232</f>
        <v/>
      </c>
      <c r="E233" s="11">
        <f>IF(YEAR(B232)=YEAR(B233),(B233-B232)/(DATE(YEAR(B232)+1,1,1)-DATE(YEAR(B232),1,1)),(DATE(YEAR(B232)+1,1,1)-B232)/(DATE(YEAR(B232)+1,1,1)-DATE(YEAR(B232),1,1))+(B233-DATE(YEAR(B233),1,1))/(DATE(YEAR(B233)+1,1,1)-DATE(YEAR(B233),1,1))+YEAR(B233)-YEAR(B232)-1)</f>
        <v/>
      </c>
      <c r="F233" s="8">
        <f>K232</f>
        <v/>
      </c>
      <c r="G233" s="7">
        <f>$B$10</f>
        <v/>
      </c>
      <c r="H233" s="8">
        <f>F233*G233*E233</f>
        <v/>
      </c>
      <c r="I233" s="8">
        <f>SUM(H233:H233)</f>
        <v/>
      </c>
      <c r="J233" s="8">
        <f>$B$7/$B$13</f>
        <v/>
      </c>
      <c r="K233" s="8">
        <f>F233-J233</f>
        <v/>
      </c>
    </row>
    <row r="234">
      <c r="A234" t="n">
        <v>238</v>
      </c>
      <c r="B234" s="10">
        <f>MIN(DATE(YEAR($E$3),MONTH($E$3)+A234*$E$4,MIN($E$5,DAY(EOMONTH(DATE(YEAR($E$3),MONTH($E$3)+A234*$E$4,1),0)))),$B$6)</f>
        <v/>
      </c>
      <c r="C234" t="inlineStr">
        <is>
          <t>проценты, тело</t>
        </is>
      </c>
      <c r="D234">
        <f>B234-B233</f>
        <v/>
      </c>
      <c r="E234" s="11">
        <f>IF(YEAR(B233)=YEAR(B234),(B234-B233)/(DATE(YEAR(B233)+1,1,1)-DATE(YEAR(B233),1,1)),(DATE(YEAR(B233)+1,1,1)-B233)/(DATE(YEAR(B233)+1,1,1)-DATE(YEAR(B233),1,1))+(B234-DATE(YEAR(B234),1,1))/(DATE(YEAR(B234)+1,1,1)-DATE(YEAR(B234),1,1))+YEAR(B234)-YEAR(B233)-1)</f>
        <v/>
      </c>
      <c r="F234" s="8">
        <f>K233</f>
        <v/>
      </c>
      <c r="G234" s="7">
        <f>$B$10</f>
        <v/>
      </c>
      <c r="H234" s="8">
        <f>F234*G234*E234</f>
        <v/>
      </c>
      <c r="I234" s="8">
        <f>SUM(H234:H234)</f>
        <v/>
      </c>
      <c r="J234" s="8">
        <f>$B$7/$B$13</f>
        <v/>
      </c>
      <c r="K234" s="8">
        <f>F234-J234</f>
        <v/>
      </c>
    </row>
    <row r="235">
      <c r="A235" t="n">
        <v>239</v>
      </c>
      <c r="B235" s="10">
        <f>MIN(DATE(YEAR($E$3),MONTH($E$3)+A235*$E$4,MIN($E$5,DAY(EOMONTH(DATE(YEAR($E$3),MONTH($E$3)+A235*$E$4,1),0)))),$B$6)</f>
        <v/>
      </c>
      <c r="C235" t="inlineStr">
        <is>
          <t>проценты, тело</t>
        </is>
      </c>
      <c r="D235">
        <f>B235-B234</f>
        <v/>
      </c>
      <c r="E235" s="11">
        <f>IF(YEAR(B234)=YEAR(B235),(B235-B234)/(DATE(YEAR(B234)+1,1,1)-DATE(YEAR(B234),1,1)),(DATE(YEAR(B234)+1,1,1)-B234)/(DATE(YEAR(B234)+1,1,1)-DATE(YEAR(B234),1,1))+(B235-DATE(YEAR(B235),1,1))/(DATE(YEAR(B235)+1,1,1)-DATE(YEAR(B235),1,1))+YEAR(B235)-YEAR(B234)-1)</f>
        <v/>
      </c>
      <c r="F235" s="8">
        <f>K234</f>
        <v/>
      </c>
      <c r="G235" s="7">
        <f>$B$10</f>
        <v/>
      </c>
      <c r="H235" s="8">
        <f>F235*G235*E235</f>
        <v/>
      </c>
      <c r="I235" s="8">
        <f>SUM(H235:H235)</f>
        <v/>
      </c>
      <c r="J235" s="8">
        <f>$B$7/$B$13</f>
        <v/>
      </c>
      <c r="K235" s="8">
        <f>F235-J235</f>
        <v/>
      </c>
    </row>
    <row r="236">
      <c r="A236" t="n">
        <v>240</v>
      </c>
      <c r="B236" s="10">
        <f>MIN(DATE(YEAR($E$3),MONTH($E$3)+A236*$E$4,MIN($E$5,DAY(EOMONTH(DATE(YEAR($E$3),MONTH($E$3)+A236*$E$4,1),0)))),$B$6)</f>
        <v/>
      </c>
      <c r="C236" t="inlineStr">
        <is>
          <t>проценты, тело</t>
        </is>
      </c>
      <c r="D236">
        <f>B236-B235</f>
        <v/>
      </c>
      <c r="E236" s="11">
        <f>IF(YEAR(B235)=YEAR(B236),(B236-B235)/(DATE(YEAR(B235)+1,1,1)-DATE(YEAR(B235),1,1)),(DATE(YEAR(B235)+1,1,1)-B235)/(DATE(YEAR(B235)+1,1,1)-DATE(YEAR(B235),1,1))+(B236-DATE(YEAR(B236),1,1))/(DATE(YEAR(B236)+1,1,1)-DATE(YEAR(B236),1,1))+YEAR(B236)-YEAR(B235)-1)</f>
        <v/>
      </c>
      <c r="F236" s="8">
        <f>K235</f>
        <v/>
      </c>
      <c r="G236" s="7">
        <f>$B$10</f>
        <v/>
      </c>
      <c r="H236" s="8">
        <f>F236*G236*E236</f>
        <v/>
      </c>
      <c r="I236" s="8">
        <f>SUM(H236:H236)</f>
        <v/>
      </c>
      <c r="J236" s="8">
        <f>$B$7/$B$13</f>
        <v/>
      </c>
      <c r="K236" s="8">
        <f>F236-J236</f>
        <v/>
      </c>
    </row>
    <row r="237">
      <c r="A237" t="n">
        <v>241</v>
      </c>
      <c r="B237" s="10">
        <f>MIN(DATE(YEAR($E$3),MONTH($E$3)+A237*$E$4,MIN($E$5,DAY(EOMONTH(DATE(YEAR($E$3),MONTH($E$3)+A237*$E$4,1),0)))),$B$6)</f>
        <v/>
      </c>
      <c r="C237" t="inlineStr">
        <is>
          <t>проценты, тело</t>
        </is>
      </c>
      <c r="D237">
        <f>B237-B236</f>
        <v/>
      </c>
      <c r="E237" s="11">
        <f>IF(YEAR(B236)=YEAR(B237),(B237-B236)/(DATE(YEAR(B236)+1,1,1)-DATE(YEAR(B236),1,1)),(DATE(YEAR(B236)+1,1,1)-B236)/(DATE(YEAR(B236)+1,1,1)-DATE(YEAR(B236),1,1))+(B237-DATE(YEAR(B237),1,1))/(DATE(YEAR(B237)+1,1,1)-DATE(YEAR(B237),1,1))+YEAR(B237)-YEAR(B236)-1)</f>
        <v/>
      </c>
      <c r="F237" s="8">
        <f>K236</f>
        <v/>
      </c>
      <c r="G237" s="7">
        <f>$B$10</f>
        <v/>
      </c>
      <c r="H237" s="8">
        <f>F237*G237*E237</f>
        <v/>
      </c>
      <c r="I237" s="8">
        <f>SUM(H237:H237)</f>
        <v/>
      </c>
      <c r="J237" s="8">
        <f>$B$7/$B$13</f>
        <v/>
      </c>
      <c r="K237" s="8">
        <f>F237-J237</f>
        <v/>
      </c>
    </row>
    <row r="238">
      <c r="A238" t="n">
        <v>242</v>
      </c>
      <c r="B238" s="10">
        <f>MIN(DATE(YEAR($E$3),MONTH($E$3)+A238*$E$4,MIN($E$5,DAY(EOMONTH(DATE(YEAR($E$3),MONTH($E$3)+A238*$E$4,1),0)))),$B$6)</f>
        <v/>
      </c>
      <c r="C238" t="inlineStr">
        <is>
          <t>проценты, тело</t>
        </is>
      </c>
      <c r="D238">
        <f>B238-B237</f>
        <v/>
      </c>
      <c r="E238" s="11">
        <f>IF(YEAR(B237)=YEAR(B238),(B238-B237)/(DATE(YEAR(B237)+1,1,1)-DATE(YEAR(B237),1,1)),(DATE(YEAR(B237)+1,1,1)-B237)/(DATE(YEAR(B237)+1,1,1)-DATE(YEAR(B237),1,1))+(B238-DATE(YEAR(B238),1,1))/(DATE(YEAR(B238)+1,1,1)-DATE(YEAR(B238),1,1))+YEAR(B238)-YEAR(B237)-1)</f>
        <v/>
      </c>
      <c r="F238" s="8">
        <f>K237</f>
        <v/>
      </c>
      <c r="G238" s="7">
        <f>$B$10</f>
        <v/>
      </c>
      <c r="H238" s="8">
        <f>F238*G238*E238</f>
        <v/>
      </c>
      <c r="I238" s="8">
        <f>SUM(H238:H238)</f>
        <v/>
      </c>
      <c r="J238" s="8">
        <f>$B$7/$B$13</f>
        <v/>
      </c>
      <c r="K238" s="8">
        <f>F238-J238</f>
        <v/>
      </c>
    </row>
    <row r="239">
      <c r="A239" t="n">
        <v>243</v>
      </c>
      <c r="B239" s="10">
        <f>MIN(DATE(YEAR($E$3),MONTH($E$3)+A239*$E$4,MIN($E$5,DAY(EOMONTH(DATE(YEAR($E$3),MONTH($E$3)+A239*$E$4,1),0)))),$B$6)</f>
        <v/>
      </c>
      <c r="C239" t="inlineStr">
        <is>
          <t>проценты, тело</t>
        </is>
      </c>
      <c r="D239">
        <f>B239-B238</f>
        <v/>
      </c>
      <c r="E239" s="11">
        <f>IF(YEAR(B238)=YEAR(B239),(B239-B238)/(DATE(YEAR(B238)+1,1,1)-DATE(YEAR(B238),1,1)),(DATE(YEAR(B238)+1,1,1)-B238)/(DATE(YEAR(B238)+1,1,1)-DATE(YEAR(B238),1,1))+(B239-DATE(YEAR(B239),1,1))/(DATE(YEAR(B239)+1,1,1)-DATE(YEAR(B239),1,1))+YEAR(B239)-YEAR(B238)-1)</f>
        <v/>
      </c>
      <c r="F239" s="8">
        <f>K238</f>
        <v/>
      </c>
      <c r="G239" s="7">
        <f>$B$10</f>
        <v/>
      </c>
      <c r="H239" s="8">
        <f>F239*G239*E239</f>
        <v/>
      </c>
      <c r="I239" s="8">
        <f>SUM(H239:H239)</f>
        <v/>
      </c>
      <c r="J239" s="8">
        <f>$B$7/$B$13</f>
        <v/>
      </c>
      <c r="K239" s="8">
        <f>F239-J239</f>
        <v/>
      </c>
    </row>
    <row r="240">
      <c r="A240" t="n">
        <v>244</v>
      </c>
      <c r="B240" s="10">
        <f>MIN(DATE(YEAR($E$3),MONTH($E$3)+A240*$E$4,MIN($E$5,DAY(EOMONTH(DATE(YEAR($E$3),MONTH($E$3)+A240*$E$4,1),0)))),$B$6)</f>
        <v/>
      </c>
      <c r="C240" t="inlineStr">
        <is>
          <t>проценты, тело</t>
        </is>
      </c>
      <c r="D240">
        <f>B240-B239</f>
        <v/>
      </c>
      <c r="E240" s="11">
        <f>IF(YEAR(B239)=YEAR(B240),(B240-B239)/(DATE(YEAR(B239)+1,1,1)-DATE(YEAR(B239),1,1)),(DATE(YEAR(B239)+1,1,1)-B239)/(DATE(YEAR(B239)+1,1,1)-DATE(YEAR(B239),1,1))+(B240-DATE(YEAR(B240),1,1))/(DATE(YEAR(B240)+1,1,1)-DATE(YEAR(B240),1,1))+YEAR(B240)-YEAR(B239)-1)</f>
        <v/>
      </c>
      <c r="F240" s="8">
        <f>K239</f>
        <v/>
      </c>
      <c r="G240" s="7">
        <f>$B$10</f>
        <v/>
      </c>
      <c r="H240" s="8">
        <f>F240*G240*E240</f>
        <v/>
      </c>
      <c r="I240" s="8">
        <f>SUM(H240:H240)</f>
        <v/>
      </c>
      <c r="J240" s="8">
        <f>$B$7/$B$13</f>
        <v/>
      </c>
      <c r="K240" s="8">
        <f>F240-J240</f>
        <v/>
      </c>
    </row>
    <row r="241">
      <c r="A241" t="n">
        <v>245</v>
      </c>
      <c r="B241" s="10">
        <f>MIN(DATE(YEAR($E$3),MONTH($E$3)+A241*$E$4,MIN($E$5,DAY(EOMONTH(DATE(YEAR($E$3),MONTH($E$3)+A241*$E$4,1),0)))),$B$6)</f>
        <v/>
      </c>
      <c r="C241" t="inlineStr">
        <is>
          <t>проценты, тело</t>
        </is>
      </c>
      <c r="D241">
        <f>B241-B240</f>
        <v/>
      </c>
      <c r="E241" s="11">
        <f>IF(YEAR(B240)=YEAR(B241),(B241-B240)/(DATE(YEAR(B240)+1,1,1)-DATE(YEAR(B240),1,1)),(DATE(YEAR(B240)+1,1,1)-B240)/(DATE(YEAR(B240)+1,1,1)-DATE(YEAR(B240),1,1))+(B241-DATE(YEAR(B241),1,1))/(DATE(YEAR(B241)+1,1,1)-DATE(YEAR(B241),1,1))+YEAR(B241)-YEAR(B240)-1)</f>
        <v/>
      </c>
      <c r="F241" s="8">
        <f>K240</f>
        <v/>
      </c>
      <c r="G241" s="7">
        <f>$B$10</f>
        <v/>
      </c>
      <c r="H241" s="8">
        <f>F241*G241*E241</f>
        <v/>
      </c>
      <c r="I241" s="8">
        <f>SUM(H241:H241)</f>
        <v/>
      </c>
      <c r="J241" s="8">
        <f>$B$7/$B$13</f>
        <v/>
      </c>
      <c r="K241" s="8">
        <f>F241-J241</f>
        <v/>
      </c>
    </row>
    <row r="242">
      <c r="A242" t="n">
        <v>246</v>
      </c>
      <c r="B242" s="10">
        <f>MIN(DATE(YEAR($E$3),MONTH($E$3)+A242*$E$4,MIN($E$5,DAY(EOMONTH(DATE(YEAR($E$3),MONTH($E$3)+A242*$E$4,1),0)))),$B$6)</f>
        <v/>
      </c>
      <c r="C242" t="inlineStr">
        <is>
          <t>проценты, тело</t>
        </is>
      </c>
      <c r="D242">
        <f>B242-B241</f>
        <v/>
      </c>
      <c r="E242" s="11">
        <f>IF(YEAR(B241)=YEAR(B242),(B242-B241)/(DATE(YEAR(B241)+1,1,1)-DATE(YEAR(B241),1,1)),(DATE(YEAR(B241)+1,1,1)-B241)/(DATE(YEAR(B241)+1,1,1)-DATE(YEAR(B241),1,1))+(B242-DATE(YEAR(B242),1,1))/(DATE(YEAR(B242)+1,1,1)-DATE(YEAR(B242),1,1))+YEAR(B242)-YEAR(B241)-1)</f>
        <v/>
      </c>
      <c r="F242" s="8">
        <f>K241</f>
        <v/>
      </c>
      <c r="G242" s="7">
        <f>$B$10</f>
        <v/>
      </c>
      <c r="H242" s="8">
        <f>F242*G242*E242</f>
        <v/>
      </c>
      <c r="I242" s="8">
        <f>SUM(H242:H242)</f>
        <v/>
      </c>
      <c r="J242" s="8">
        <f>$B$7/$B$13</f>
        <v/>
      </c>
      <c r="K242" s="8">
        <f>F242-J242</f>
        <v/>
      </c>
    </row>
    <row r="243">
      <c r="A243" t="n">
        <v>247</v>
      </c>
      <c r="B243" s="10">
        <f>MIN(DATE(YEAR($E$3),MONTH($E$3)+A243*$E$4,MIN($E$5,DAY(EOMONTH(DATE(YEAR($E$3),MONTH($E$3)+A243*$E$4,1),0)))),$B$6)</f>
        <v/>
      </c>
      <c r="C243" t="inlineStr">
        <is>
          <t>проценты, тело</t>
        </is>
      </c>
      <c r="D243">
        <f>B243-B242</f>
        <v/>
      </c>
      <c r="E243" s="11">
        <f>IF(YEAR(B242)=YEAR(B243),(B243-B242)/(DATE(YEAR(B242)+1,1,1)-DATE(YEAR(B242),1,1)),(DATE(YEAR(B242)+1,1,1)-B242)/(DATE(YEAR(B242)+1,1,1)-DATE(YEAR(B242),1,1))+(B243-DATE(YEAR(B243),1,1))/(DATE(YEAR(B243)+1,1,1)-DATE(YEAR(B243),1,1))+YEAR(B243)-YEAR(B242)-1)</f>
        <v/>
      </c>
      <c r="F243" s="8">
        <f>K242</f>
        <v/>
      </c>
      <c r="G243" s="7">
        <f>$B$10</f>
        <v/>
      </c>
      <c r="H243" s="8">
        <f>F243*G243*E243</f>
        <v/>
      </c>
      <c r="I243" s="8">
        <f>SUM(H243:H243)</f>
        <v/>
      </c>
      <c r="J243" s="8">
        <f>$B$7/$B$13</f>
        <v/>
      </c>
      <c r="K243" s="8">
        <f>F243-J243</f>
        <v/>
      </c>
    </row>
    <row r="244">
      <c r="A244" t="n">
        <v>248</v>
      </c>
      <c r="B244" s="10">
        <f>MIN(DATE(YEAR($E$3),MONTH($E$3)+A244*$E$4,MIN($E$5,DAY(EOMONTH(DATE(YEAR($E$3),MONTH($E$3)+A244*$E$4,1),0)))),$B$6)</f>
        <v/>
      </c>
      <c r="C244" t="inlineStr">
        <is>
          <t>проценты, тело</t>
        </is>
      </c>
      <c r="D244">
        <f>B244-B243</f>
        <v/>
      </c>
      <c r="E244" s="11">
        <f>IF(YEAR(B243)=YEAR(B244),(B244-B243)/(DATE(YEAR(B243)+1,1,1)-DATE(YEAR(B243),1,1)),(DATE(YEAR(B243)+1,1,1)-B243)/(DATE(YEAR(B243)+1,1,1)-DATE(YEAR(B243),1,1))+(B244-DATE(YEAR(B244),1,1))/(DATE(YEAR(B244)+1,1,1)-DATE(YEAR(B244),1,1))+YEAR(B244)-YEAR(B243)-1)</f>
        <v/>
      </c>
      <c r="F244" s="8">
        <f>K243</f>
        <v/>
      </c>
      <c r="G244" s="7">
        <f>$B$10</f>
        <v/>
      </c>
      <c r="H244" s="8">
        <f>F244*G244*E244</f>
        <v/>
      </c>
      <c r="I244" s="8">
        <f>SUM(H244:H244)</f>
        <v/>
      </c>
      <c r="J244" s="8">
        <f>$B$7/$B$13</f>
        <v/>
      </c>
      <c r="K244" s="8">
        <f>F244-J244</f>
        <v/>
      </c>
    </row>
    <row r="245">
      <c r="A245" t="n">
        <v>249</v>
      </c>
      <c r="B245" s="10">
        <f>MIN(DATE(YEAR($E$3),MONTH($E$3)+A245*$E$4,MIN($E$5,DAY(EOMONTH(DATE(YEAR($E$3),MONTH($E$3)+A245*$E$4,1),0)))),$B$6)</f>
        <v/>
      </c>
      <c r="C245" t="inlineStr">
        <is>
          <t>проценты, тело</t>
        </is>
      </c>
      <c r="D245">
        <f>B245-B244</f>
        <v/>
      </c>
      <c r="E245" s="11">
        <f>IF(YEAR(B244)=YEAR(B245),(B245-B244)/(DATE(YEAR(B244)+1,1,1)-DATE(YEAR(B244),1,1)),(DATE(YEAR(B244)+1,1,1)-B244)/(DATE(YEAR(B244)+1,1,1)-DATE(YEAR(B244),1,1))+(B245-DATE(YEAR(B245),1,1))/(DATE(YEAR(B245)+1,1,1)-DATE(YEAR(B245),1,1))+YEAR(B245)-YEAR(B244)-1)</f>
        <v/>
      </c>
      <c r="F245" s="8">
        <f>K244</f>
        <v/>
      </c>
      <c r="G245" s="7">
        <f>$B$10</f>
        <v/>
      </c>
      <c r="H245" s="8">
        <f>F245*G245*E245</f>
        <v/>
      </c>
      <c r="I245" s="8">
        <f>SUM(H245:H245)</f>
        <v/>
      </c>
      <c r="J245" s="8">
        <f>$B$7/$B$13</f>
        <v/>
      </c>
      <c r="K245" s="8">
        <f>F245-J245</f>
        <v/>
      </c>
    </row>
    <row r="246">
      <c r="A246" t="n">
        <v>250</v>
      </c>
      <c r="B246" s="10">
        <f>MIN(DATE(YEAR($E$3),MONTH($E$3)+A246*$E$4,MIN($E$5,DAY(EOMONTH(DATE(YEAR($E$3),MONTH($E$3)+A246*$E$4,1),0)))),$B$6)</f>
        <v/>
      </c>
      <c r="C246" t="inlineStr">
        <is>
          <t>проценты, тело</t>
        </is>
      </c>
      <c r="D246">
        <f>B246-B245</f>
        <v/>
      </c>
      <c r="E246" s="11">
        <f>IF(YEAR(B245)=YEAR(B246),(B246-B245)/(DATE(YEAR(B245)+1,1,1)-DATE(YEAR(B245),1,1)),(DATE(YEAR(B245)+1,1,1)-B245)/(DATE(YEAR(B245)+1,1,1)-DATE(YEAR(B245),1,1))+(B246-DATE(YEAR(B246),1,1))/(DATE(YEAR(B246)+1,1,1)-DATE(YEAR(B246),1,1))+YEAR(B246)-YEAR(B245)-1)</f>
        <v/>
      </c>
      <c r="F246" s="8">
        <f>K245</f>
        <v/>
      </c>
      <c r="G246" s="7">
        <f>$B$10</f>
        <v/>
      </c>
      <c r="H246" s="8">
        <f>F246*G246*E246</f>
        <v/>
      </c>
      <c r="I246" s="8">
        <f>SUM(H246:H246)</f>
        <v/>
      </c>
      <c r="J246" s="8">
        <f>$B$7/$B$13</f>
        <v/>
      </c>
      <c r="K246" s="8">
        <f>F246-J246</f>
        <v/>
      </c>
    </row>
    <row r="247">
      <c r="A247" t="n">
        <v>251</v>
      </c>
      <c r="B247" s="10">
        <f>MIN(DATE(YEAR($E$3),MONTH($E$3)+A247*$E$4,MIN($E$5,DAY(EOMONTH(DATE(YEAR($E$3),MONTH($E$3)+A247*$E$4,1),0)))),$B$6)</f>
        <v/>
      </c>
      <c r="C247" t="inlineStr">
        <is>
          <t>проценты, тело</t>
        </is>
      </c>
      <c r="D247">
        <f>B247-B246</f>
        <v/>
      </c>
      <c r="E247" s="11">
        <f>IF(YEAR(B246)=YEAR(B247),(B247-B246)/(DATE(YEAR(B246)+1,1,1)-DATE(YEAR(B246),1,1)),(DATE(YEAR(B246)+1,1,1)-B246)/(DATE(YEAR(B246)+1,1,1)-DATE(YEAR(B246),1,1))+(B247-DATE(YEAR(B247),1,1))/(DATE(YEAR(B247)+1,1,1)-DATE(YEAR(B247),1,1))+YEAR(B247)-YEAR(B246)-1)</f>
        <v/>
      </c>
      <c r="F247" s="8">
        <f>K246</f>
        <v/>
      </c>
      <c r="G247" s="7">
        <f>$B$10</f>
        <v/>
      </c>
      <c r="H247" s="8">
        <f>F247*G247*E247</f>
        <v/>
      </c>
      <c r="I247" s="8">
        <f>SUM(H247:H247)</f>
        <v/>
      </c>
      <c r="J247" s="8">
        <f>$B$7/$B$13</f>
        <v/>
      </c>
      <c r="K247" s="8">
        <f>F247-J247</f>
        <v/>
      </c>
    </row>
    <row r="248">
      <c r="A248" t="n">
        <v>252</v>
      </c>
      <c r="B248" s="10">
        <f>MIN(DATE(YEAR($E$3),MONTH($E$3)+A248*$E$4,MIN($E$5,DAY(EOMONTH(DATE(YEAR($E$3),MONTH($E$3)+A248*$E$4,1),0)))),$B$6)</f>
        <v/>
      </c>
      <c r="C248" t="inlineStr">
        <is>
          <t>проценты, тело</t>
        </is>
      </c>
      <c r="D248">
        <f>B248-B247</f>
        <v/>
      </c>
      <c r="E248" s="11">
        <f>IF(YEAR(B247)=YEAR(B248),(B248-B247)/(DATE(YEAR(B247)+1,1,1)-DATE(YEAR(B247),1,1)),(DATE(YEAR(B247)+1,1,1)-B247)/(DATE(YEAR(B247)+1,1,1)-DATE(YEAR(B247),1,1))+(B248-DATE(YEAR(B248),1,1))/(DATE(YEAR(B248)+1,1,1)-DATE(YEAR(B248),1,1))+YEAR(B248)-YEAR(B247)-1)</f>
        <v/>
      </c>
      <c r="F248" s="8">
        <f>K247</f>
        <v/>
      </c>
      <c r="G248" s="7">
        <f>$B$10</f>
        <v/>
      </c>
      <c r="H248" s="8">
        <f>F248*G248*E248</f>
        <v/>
      </c>
      <c r="I248" s="8">
        <f>SUM(H248:H248)</f>
        <v/>
      </c>
      <c r="J248" s="8">
        <f>$B$7/$B$13</f>
        <v/>
      </c>
      <c r="K248" s="8">
        <f>F248-J248</f>
        <v/>
      </c>
    </row>
    <row r="249">
      <c r="A249" t="n">
        <v>253</v>
      </c>
      <c r="B249" s="10">
        <f>MIN(DATE(YEAR($E$3),MONTH($E$3)+A249*$E$4,MIN($E$5,DAY(EOMONTH(DATE(YEAR($E$3),MONTH($E$3)+A249*$E$4,1),0)))),$B$6)</f>
        <v/>
      </c>
      <c r="C249" t="inlineStr">
        <is>
          <t>проценты, тело</t>
        </is>
      </c>
      <c r="D249">
        <f>B249-B248</f>
        <v/>
      </c>
      <c r="E249" s="11">
        <f>IF(YEAR(B248)=YEAR(B249),(B249-B248)/(DATE(YEAR(B248)+1,1,1)-DATE(YEAR(B248),1,1)),(DATE(YEAR(B248)+1,1,1)-B248)/(DATE(YEAR(B248)+1,1,1)-DATE(YEAR(B248),1,1))+(B249-DATE(YEAR(B249),1,1))/(DATE(YEAR(B249)+1,1,1)-DATE(YEAR(B249),1,1))+YEAR(B249)-YEAR(B248)-1)</f>
        <v/>
      </c>
      <c r="F249" s="8">
        <f>K248</f>
        <v/>
      </c>
      <c r="G249" s="7">
        <f>$B$10</f>
        <v/>
      </c>
      <c r="H249" s="8">
        <f>F249*G249*E249</f>
        <v/>
      </c>
      <c r="I249" s="8">
        <f>SUM(H249:H249)</f>
        <v/>
      </c>
      <c r="J249" s="8">
        <f>$B$7/$B$13</f>
        <v/>
      </c>
      <c r="K249" s="8">
        <f>F249-J249</f>
        <v/>
      </c>
    </row>
    <row r="250">
      <c r="A250" t="n">
        <v>254</v>
      </c>
      <c r="B250" s="10">
        <f>MIN(DATE(YEAR($E$3),MONTH($E$3)+A250*$E$4,MIN($E$5,DAY(EOMONTH(DATE(YEAR($E$3),MONTH($E$3)+A250*$E$4,1),0)))),$B$6)</f>
        <v/>
      </c>
      <c r="C250" t="inlineStr">
        <is>
          <t>проценты, тело</t>
        </is>
      </c>
      <c r="D250">
        <f>B250-B249</f>
        <v/>
      </c>
      <c r="E250" s="11">
        <f>IF(YEAR(B249)=YEAR(B250),(B250-B249)/(DATE(YEAR(B249)+1,1,1)-DATE(YEAR(B249),1,1)),(DATE(YEAR(B249)+1,1,1)-B249)/(DATE(YEAR(B249)+1,1,1)-DATE(YEAR(B249),1,1))+(B250-DATE(YEAR(B250),1,1))/(DATE(YEAR(B250)+1,1,1)-DATE(YEAR(B250),1,1))+YEAR(B250)-YEAR(B249)-1)</f>
        <v/>
      </c>
      <c r="F250" s="8">
        <f>K249</f>
        <v/>
      </c>
      <c r="G250" s="7">
        <f>$B$10</f>
        <v/>
      </c>
      <c r="H250" s="8">
        <f>F250*G250*E250</f>
        <v/>
      </c>
      <c r="I250" s="8">
        <f>SUM(H250:H250)</f>
        <v/>
      </c>
      <c r="J250" s="8">
        <f>$B$7/$B$13</f>
        <v/>
      </c>
      <c r="K250" s="8">
        <f>F250-J250</f>
        <v/>
      </c>
    </row>
    <row r="251">
      <c r="A251" t="n">
        <v>255</v>
      </c>
      <c r="B251" s="10">
        <f>MIN(DATE(YEAR($E$3),MONTH($E$3)+A251*$E$4,MIN($E$5,DAY(EOMONTH(DATE(YEAR($E$3),MONTH($E$3)+A251*$E$4,1),0)))),$B$6)</f>
        <v/>
      </c>
      <c r="C251" t="inlineStr">
        <is>
          <t>проценты, тело</t>
        </is>
      </c>
      <c r="D251">
        <f>B251-B250</f>
        <v/>
      </c>
      <c r="E251" s="11">
        <f>IF(YEAR(B250)=YEAR(B251),(B251-B250)/(DATE(YEAR(B250)+1,1,1)-DATE(YEAR(B250),1,1)),(DATE(YEAR(B250)+1,1,1)-B250)/(DATE(YEAR(B250)+1,1,1)-DATE(YEAR(B250),1,1))+(B251-DATE(YEAR(B251),1,1))/(DATE(YEAR(B251)+1,1,1)-DATE(YEAR(B251),1,1))+YEAR(B251)-YEAR(B250)-1)</f>
        <v/>
      </c>
      <c r="F251" s="8">
        <f>K250</f>
        <v/>
      </c>
      <c r="G251" s="7">
        <f>$B$10</f>
        <v/>
      </c>
      <c r="H251" s="8">
        <f>F251*G251*E251</f>
        <v/>
      </c>
      <c r="I251" s="8">
        <f>SUM(H251:H251)</f>
        <v/>
      </c>
      <c r="J251" s="8">
        <f>$B$7/$B$13</f>
        <v/>
      </c>
      <c r="K251" s="8">
        <f>F251-J251</f>
        <v/>
      </c>
    </row>
    <row r="252">
      <c r="A252" t="n">
        <v>256</v>
      </c>
      <c r="B252" s="10">
        <f>MIN(DATE(YEAR($E$3),MONTH($E$3)+A252*$E$4,MIN($E$5,DAY(EOMONTH(DATE(YEAR($E$3),MONTH($E$3)+A252*$E$4,1),0)))),$B$6)</f>
        <v/>
      </c>
      <c r="C252" t="inlineStr">
        <is>
          <t>проценты, тело</t>
        </is>
      </c>
      <c r="D252">
        <f>B252-B251</f>
        <v/>
      </c>
      <c r="E252" s="11">
        <f>IF(YEAR(B251)=YEAR(B252),(B252-B251)/(DATE(YEAR(B251)+1,1,1)-DATE(YEAR(B251),1,1)),(DATE(YEAR(B251)+1,1,1)-B251)/(DATE(YEAR(B251)+1,1,1)-DATE(YEAR(B251),1,1))+(B252-DATE(YEAR(B252),1,1))/(DATE(YEAR(B252)+1,1,1)-DATE(YEAR(B252),1,1))+YEAR(B252)-YEAR(B251)-1)</f>
        <v/>
      </c>
      <c r="F252" s="8">
        <f>K251</f>
        <v/>
      </c>
      <c r="G252" s="7">
        <f>$B$10</f>
        <v/>
      </c>
      <c r="H252" s="8">
        <f>F252*G252*E252</f>
        <v/>
      </c>
      <c r="I252" s="8">
        <f>SUM(H252:H252)</f>
        <v/>
      </c>
      <c r="J252" s="8">
        <f>$B$7/$B$13</f>
        <v/>
      </c>
      <c r="K252" s="8">
        <f>F252-J252</f>
        <v/>
      </c>
    </row>
    <row r="253">
      <c r="A253" t="n">
        <v>257</v>
      </c>
      <c r="B253" s="10">
        <f>MIN(DATE(YEAR($E$3),MONTH($E$3)+A253*$E$4,MIN($E$5,DAY(EOMONTH(DATE(YEAR($E$3),MONTH($E$3)+A253*$E$4,1),0)))),$B$6)</f>
        <v/>
      </c>
      <c r="C253" t="inlineStr">
        <is>
          <t>проценты, тело</t>
        </is>
      </c>
      <c r="D253">
        <f>B253-B252</f>
        <v/>
      </c>
      <c r="E253" s="11">
        <f>IF(YEAR(B252)=YEAR(B253),(B253-B252)/(DATE(YEAR(B252)+1,1,1)-DATE(YEAR(B252),1,1)),(DATE(YEAR(B252)+1,1,1)-B252)/(DATE(YEAR(B252)+1,1,1)-DATE(YEAR(B252),1,1))+(B253-DATE(YEAR(B253),1,1))/(DATE(YEAR(B253)+1,1,1)-DATE(YEAR(B253),1,1))+YEAR(B253)-YEAR(B252)-1)</f>
        <v/>
      </c>
      <c r="F253" s="8">
        <f>K252</f>
        <v/>
      </c>
      <c r="G253" s="7">
        <f>$B$10</f>
        <v/>
      </c>
      <c r="H253" s="8">
        <f>F253*G253*E253</f>
        <v/>
      </c>
      <c r="I253" s="8">
        <f>SUM(H253:H253)</f>
        <v/>
      </c>
      <c r="J253" s="8">
        <f>$B$7/$B$13</f>
        <v/>
      </c>
      <c r="K253" s="8">
        <f>F253-J253</f>
        <v/>
      </c>
    </row>
    <row r="254">
      <c r="A254" t="n">
        <v>258</v>
      </c>
      <c r="B254" s="10">
        <f>MIN(DATE(YEAR($E$3),MONTH($E$3)+A254*$E$4,MIN($E$5,DAY(EOMONTH(DATE(YEAR($E$3),MONTH($E$3)+A254*$E$4,1),0)))),$B$6)</f>
        <v/>
      </c>
      <c r="C254" t="inlineStr">
        <is>
          <t>проценты, тело</t>
        </is>
      </c>
      <c r="D254">
        <f>B254-B253</f>
        <v/>
      </c>
      <c r="E254" s="11">
        <f>IF(YEAR(B253)=YEAR(B254),(B254-B253)/(DATE(YEAR(B253)+1,1,1)-DATE(YEAR(B253),1,1)),(DATE(YEAR(B253)+1,1,1)-B253)/(DATE(YEAR(B253)+1,1,1)-DATE(YEAR(B253),1,1))+(B254-DATE(YEAR(B254),1,1))/(DATE(YEAR(B254)+1,1,1)-DATE(YEAR(B254),1,1))+YEAR(B254)-YEAR(B253)-1)</f>
        <v/>
      </c>
      <c r="F254" s="8">
        <f>K253</f>
        <v/>
      </c>
      <c r="G254" s="7">
        <f>$B$10</f>
        <v/>
      </c>
      <c r="H254" s="8">
        <f>F254*G254*E254</f>
        <v/>
      </c>
      <c r="I254" s="8">
        <f>SUM(H254:H254)</f>
        <v/>
      </c>
      <c r="J254" s="8">
        <f>$B$7/$B$13</f>
        <v/>
      </c>
      <c r="K254" s="8">
        <f>F254-J254</f>
        <v/>
      </c>
    </row>
    <row r="255">
      <c r="A255" t="n">
        <v>259</v>
      </c>
      <c r="B255" s="10">
        <f>MIN(DATE(YEAR($E$3),MONTH($E$3)+A255*$E$4,MIN($E$5,DAY(EOMONTH(DATE(YEAR($E$3),MONTH($E$3)+A255*$E$4,1),0)))),$B$6)</f>
        <v/>
      </c>
      <c r="C255" t="inlineStr">
        <is>
          <t>проценты, тело</t>
        </is>
      </c>
      <c r="D255">
        <f>B255-B254</f>
        <v/>
      </c>
      <c r="E255" s="11">
        <f>IF(YEAR(B254)=YEAR(B255),(B255-B254)/(DATE(YEAR(B254)+1,1,1)-DATE(YEAR(B254),1,1)),(DATE(YEAR(B254)+1,1,1)-B254)/(DATE(YEAR(B254)+1,1,1)-DATE(YEAR(B254),1,1))+(B255-DATE(YEAR(B255),1,1))/(DATE(YEAR(B255)+1,1,1)-DATE(YEAR(B255),1,1))+YEAR(B255)-YEAR(B254)-1)</f>
        <v/>
      </c>
      <c r="F255" s="8">
        <f>K254</f>
        <v/>
      </c>
      <c r="G255" s="7">
        <f>$B$10</f>
        <v/>
      </c>
      <c r="H255" s="8">
        <f>F255*G255*E255</f>
        <v/>
      </c>
      <c r="I255" s="8">
        <f>SUM(H255:H255)</f>
        <v/>
      </c>
      <c r="J255" s="8">
        <f>$B$7/$B$13</f>
        <v/>
      </c>
      <c r="K255" s="8">
        <f>F255-J255</f>
        <v/>
      </c>
    </row>
    <row r="256">
      <c r="A256" t="n">
        <v>260</v>
      </c>
      <c r="B256" s="10">
        <f>MIN(DATE(YEAR($E$3),MONTH($E$3)+A256*$E$4,MIN($E$5,DAY(EOMONTH(DATE(YEAR($E$3),MONTH($E$3)+A256*$E$4,1),0)))),$B$6)</f>
        <v/>
      </c>
      <c r="C256" t="inlineStr">
        <is>
          <t>проценты, тело</t>
        </is>
      </c>
      <c r="D256">
        <f>B256-B255</f>
        <v/>
      </c>
      <c r="E256" s="11">
        <f>IF(YEAR(B255)=YEAR(B256),(B256-B255)/(DATE(YEAR(B255)+1,1,1)-DATE(YEAR(B255),1,1)),(DATE(YEAR(B255)+1,1,1)-B255)/(DATE(YEAR(B255)+1,1,1)-DATE(YEAR(B255),1,1))+(B256-DATE(YEAR(B256),1,1))/(DATE(YEAR(B256)+1,1,1)-DATE(YEAR(B256),1,1))+YEAR(B256)-YEAR(B255)-1)</f>
        <v/>
      </c>
      <c r="F256" s="8">
        <f>K255</f>
        <v/>
      </c>
      <c r="G256" s="7">
        <f>$B$10</f>
        <v/>
      </c>
      <c r="H256" s="8">
        <f>F256*G256*E256</f>
        <v/>
      </c>
      <c r="I256" s="8">
        <f>SUM(H256:H256)</f>
        <v/>
      </c>
      <c r="J256" s="8">
        <f>$B$7/$B$13</f>
        <v/>
      </c>
      <c r="K256" s="8">
        <f>F256-J256</f>
        <v/>
      </c>
    </row>
    <row r="257">
      <c r="A257" t="n">
        <v>261</v>
      </c>
      <c r="B257" s="10">
        <f>MIN(DATE(YEAR($E$3),MONTH($E$3)+A257*$E$4,MIN($E$5,DAY(EOMONTH(DATE(YEAR($E$3),MONTH($E$3)+A257*$E$4,1),0)))),$B$6)</f>
        <v/>
      </c>
      <c r="C257" t="inlineStr">
        <is>
          <t>проценты, тело</t>
        </is>
      </c>
      <c r="D257">
        <f>B257-B256</f>
        <v/>
      </c>
      <c r="E257" s="11">
        <f>IF(YEAR(B256)=YEAR(B257),(B257-B256)/(DATE(YEAR(B256)+1,1,1)-DATE(YEAR(B256),1,1)),(DATE(YEAR(B256)+1,1,1)-B256)/(DATE(YEAR(B256)+1,1,1)-DATE(YEAR(B256),1,1))+(B257-DATE(YEAR(B257),1,1))/(DATE(YEAR(B257)+1,1,1)-DATE(YEAR(B257),1,1))+YEAR(B257)-YEAR(B256)-1)</f>
        <v/>
      </c>
      <c r="F257" s="8">
        <f>K256</f>
        <v/>
      </c>
      <c r="G257" s="7">
        <f>$B$10</f>
        <v/>
      </c>
      <c r="H257" s="8">
        <f>F257*G257*E257</f>
        <v/>
      </c>
      <c r="I257" s="8">
        <f>SUM(H257:H257)</f>
        <v/>
      </c>
      <c r="J257" s="8">
        <f>$B$7/$B$13</f>
        <v/>
      </c>
      <c r="K257" s="8">
        <f>F257-J257</f>
        <v/>
      </c>
    </row>
    <row r="258">
      <c r="A258" t="n">
        <v>262</v>
      </c>
      <c r="B258" s="10">
        <f>MIN(DATE(YEAR($E$3),MONTH($E$3)+A258*$E$4,MIN($E$5,DAY(EOMONTH(DATE(YEAR($E$3),MONTH($E$3)+A258*$E$4,1),0)))),$B$6)</f>
        <v/>
      </c>
      <c r="C258" t="inlineStr">
        <is>
          <t>проценты, тело</t>
        </is>
      </c>
      <c r="D258">
        <f>B258-B257</f>
        <v/>
      </c>
      <c r="E258" s="11">
        <f>IF(YEAR(B257)=YEAR(B258),(B258-B257)/(DATE(YEAR(B257)+1,1,1)-DATE(YEAR(B257),1,1)),(DATE(YEAR(B257)+1,1,1)-B257)/(DATE(YEAR(B257)+1,1,1)-DATE(YEAR(B257),1,1))+(B258-DATE(YEAR(B258),1,1))/(DATE(YEAR(B258)+1,1,1)-DATE(YEAR(B258),1,1))+YEAR(B258)-YEAR(B257)-1)</f>
        <v/>
      </c>
      <c r="F258" s="8">
        <f>K257</f>
        <v/>
      </c>
      <c r="G258" s="7">
        <f>$B$10</f>
        <v/>
      </c>
      <c r="H258" s="8">
        <f>F258*G258*E258</f>
        <v/>
      </c>
      <c r="I258" s="8">
        <f>SUM(H258:H258)</f>
        <v/>
      </c>
      <c r="J258" s="8">
        <f>$B$7/$B$13</f>
        <v/>
      </c>
      <c r="K258" s="8">
        <f>F258-J258</f>
        <v/>
      </c>
    </row>
    <row r="259">
      <c r="A259" t="n">
        <v>263</v>
      </c>
      <c r="B259" s="10">
        <f>MIN(DATE(YEAR($E$3),MONTH($E$3)+A259*$E$4,MIN($E$5,DAY(EOMONTH(DATE(YEAR($E$3),MONTH($E$3)+A259*$E$4,1),0)))),$B$6)</f>
        <v/>
      </c>
      <c r="C259" t="inlineStr">
        <is>
          <t>проценты, тело</t>
        </is>
      </c>
      <c r="D259">
        <f>B259-B258</f>
        <v/>
      </c>
      <c r="E259" s="11">
        <f>IF(YEAR(B258)=YEAR(B259),(B259-B258)/(DATE(YEAR(B258)+1,1,1)-DATE(YEAR(B258),1,1)),(DATE(YEAR(B258)+1,1,1)-B258)/(DATE(YEAR(B258)+1,1,1)-DATE(YEAR(B258),1,1))+(B259-DATE(YEAR(B259),1,1))/(DATE(YEAR(B259)+1,1,1)-DATE(YEAR(B259),1,1))+YEAR(B259)-YEAR(B258)-1)</f>
        <v/>
      </c>
      <c r="F259" s="8">
        <f>K258</f>
        <v/>
      </c>
      <c r="G259" s="7">
        <f>$B$10</f>
        <v/>
      </c>
      <c r="H259" s="8">
        <f>F259*G259*E259</f>
        <v/>
      </c>
      <c r="I259" s="8">
        <f>SUM(H259:H259)</f>
        <v/>
      </c>
      <c r="J259" s="8">
        <f>$B$7/$B$13</f>
        <v/>
      </c>
      <c r="K259" s="8">
        <f>F259-J259</f>
        <v/>
      </c>
    </row>
    <row r="260">
      <c r="A260" t="n">
        <v>264</v>
      </c>
      <c r="B260" s="10">
        <f>MIN(DATE(YEAR($E$3),MONTH($E$3)+A260*$E$4,MIN($E$5,DAY(EOMONTH(DATE(YEAR($E$3),MONTH($E$3)+A260*$E$4,1),0)))),$B$6)</f>
        <v/>
      </c>
      <c r="C260" t="inlineStr">
        <is>
          <t>проценты, тело</t>
        </is>
      </c>
      <c r="D260">
        <f>B260-B259</f>
        <v/>
      </c>
      <c r="E260" s="11">
        <f>IF(YEAR(B259)=YEAR(B260),(B260-B259)/(DATE(YEAR(B259)+1,1,1)-DATE(YEAR(B259),1,1)),(DATE(YEAR(B259)+1,1,1)-B259)/(DATE(YEAR(B259)+1,1,1)-DATE(YEAR(B259),1,1))+(B260-DATE(YEAR(B260),1,1))/(DATE(YEAR(B260)+1,1,1)-DATE(YEAR(B260),1,1))+YEAR(B260)-YEAR(B259)-1)</f>
        <v/>
      </c>
      <c r="F260" s="8">
        <f>K259</f>
        <v/>
      </c>
      <c r="G260" s="7">
        <f>$B$10</f>
        <v/>
      </c>
      <c r="H260" s="8">
        <f>F260*G260*E260</f>
        <v/>
      </c>
      <c r="I260" s="8">
        <f>SUM(H260:H260)</f>
        <v/>
      </c>
      <c r="J260" s="8">
        <f>$B$7/$B$13</f>
        <v/>
      </c>
      <c r="K260" s="8">
        <f>F260-J260</f>
        <v/>
      </c>
    </row>
    <row r="261">
      <c r="A261" t="n">
        <v>265</v>
      </c>
      <c r="B261" s="10">
        <f>MIN(DATE(YEAR($E$3),MONTH($E$3)+A261*$E$4,MIN($E$5,DAY(EOMONTH(DATE(YEAR($E$3),MONTH($E$3)+A261*$E$4,1),0)))),$B$6)</f>
        <v/>
      </c>
      <c r="C261" t="inlineStr">
        <is>
          <t>проценты, тело</t>
        </is>
      </c>
      <c r="D261">
        <f>B261-B260</f>
        <v/>
      </c>
      <c r="E261" s="11">
        <f>IF(YEAR(B260)=YEAR(B261),(B261-B260)/(DATE(YEAR(B260)+1,1,1)-DATE(YEAR(B260),1,1)),(DATE(YEAR(B260)+1,1,1)-B260)/(DATE(YEAR(B260)+1,1,1)-DATE(YEAR(B260),1,1))+(B261-DATE(YEAR(B261),1,1))/(DATE(YEAR(B261)+1,1,1)-DATE(YEAR(B261),1,1))+YEAR(B261)-YEAR(B260)-1)</f>
        <v/>
      </c>
      <c r="F261" s="8">
        <f>K260</f>
        <v/>
      </c>
      <c r="G261" s="7">
        <f>$B$10</f>
        <v/>
      </c>
      <c r="H261" s="8">
        <f>F261*G261*E261</f>
        <v/>
      </c>
      <c r="I261" s="8">
        <f>SUM(H261:H261)</f>
        <v/>
      </c>
      <c r="J261" s="8">
        <f>$B$7/$B$13</f>
        <v/>
      </c>
      <c r="K261" s="8">
        <f>F261-J261</f>
        <v/>
      </c>
    </row>
    <row r="262">
      <c r="A262" t="n">
        <v>266</v>
      </c>
      <c r="B262" s="10">
        <f>MIN(DATE(YEAR($E$3),MONTH($E$3)+A262*$E$4,MIN($E$5,DAY(EOMONTH(DATE(YEAR($E$3),MONTH($E$3)+A262*$E$4,1),0)))),$B$6)</f>
        <v/>
      </c>
      <c r="C262" t="inlineStr">
        <is>
          <t>проценты, тело</t>
        </is>
      </c>
      <c r="D262">
        <f>B262-B261</f>
        <v/>
      </c>
      <c r="E262" s="11">
        <f>IF(YEAR(B261)=YEAR(B262),(B262-B261)/(DATE(YEAR(B261)+1,1,1)-DATE(YEAR(B261),1,1)),(DATE(YEAR(B261)+1,1,1)-B261)/(DATE(YEAR(B261)+1,1,1)-DATE(YEAR(B261),1,1))+(B262-DATE(YEAR(B262),1,1))/(DATE(YEAR(B262)+1,1,1)-DATE(YEAR(B262),1,1))+YEAR(B262)-YEAR(B261)-1)</f>
        <v/>
      </c>
      <c r="F262" s="8">
        <f>K261</f>
        <v/>
      </c>
      <c r="G262" s="7">
        <f>$B$10</f>
        <v/>
      </c>
      <c r="H262" s="8">
        <f>F262*G262*E262</f>
        <v/>
      </c>
      <c r="I262" s="8">
        <f>SUM(H262:H262)</f>
        <v/>
      </c>
      <c r="J262" s="8">
        <f>$B$7/$B$13</f>
        <v/>
      </c>
      <c r="K262" s="8">
        <f>F262-J262</f>
        <v/>
      </c>
    </row>
    <row r="263">
      <c r="A263" t="n">
        <v>267</v>
      </c>
      <c r="B263" s="10">
        <f>MIN(DATE(YEAR($E$3),MONTH($E$3)+A263*$E$4,MIN($E$5,DAY(EOMONTH(DATE(YEAR($E$3),MONTH($E$3)+A263*$E$4,1),0)))),$B$6)</f>
        <v/>
      </c>
      <c r="C263" t="inlineStr">
        <is>
          <t>проценты, тело</t>
        </is>
      </c>
      <c r="D263">
        <f>B263-B262</f>
        <v/>
      </c>
      <c r="E263" s="11">
        <f>IF(YEAR(B262)=YEAR(B263),(B263-B262)/(DATE(YEAR(B262)+1,1,1)-DATE(YEAR(B262),1,1)),(DATE(YEAR(B262)+1,1,1)-B262)/(DATE(YEAR(B262)+1,1,1)-DATE(YEAR(B262),1,1))+(B263-DATE(YEAR(B263),1,1))/(DATE(YEAR(B263)+1,1,1)-DATE(YEAR(B263),1,1))+YEAR(B263)-YEAR(B262)-1)</f>
        <v/>
      </c>
      <c r="F263" s="8">
        <f>K262</f>
        <v/>
      </c>
      <c r="G263" s="7">
        <f>$B$10</f>
        <v/>
      </c>
      <c r="H263" s="8">
        <f>F263*G263*E263</f>
        <v/>
      </c>
      <c r="I263" s="8">
        <f>SUM(H263:H263)</f>
        <v/>
      </c>
      <c r="J263" s="8">
        <f>$B$7/$B$13</f>
        <v/>
      </c>
      <c r="K263" s="8">
        <f>F263-J263</f>
        <v/>
      </c>
    </row>
    <row r="264">
      <c r="A264" t="n">
        <v>268</v>
      </c>
      <c r="B264" s="10">
        <f>MIN(DATE(YEAR($E$3),MONTH($E$3)+A264*$E$4,MIN($E$5,DAY(EOMONTH(DATE(YEAR($E$3),MONTH($E$3)+A264*$E$4,1),0)))),$B$6)</f>
        <v/>
      </c>
      <c r="C264" t="inlineStr">
        <is>
          <t>проценты, тело</t>
        </is>
      </c>
      <c r="D264">
        <f>B264-B263</f>
        <v/>
      </c>
      <c r="E264" s="11">
        <f>IF(YEAR(B263)=YEAR(B264),(B264-B263)/(DATE(YEAR(B263)+1,1,1)-DATE(YEAR(B263),1,1)),(DATE(YEAR(B263)+1,1,1)-B263)/(DATE(YEAR(B263)+1,1,1)-DATE(YEAR(B263),1,1))+(B264-DATE(YEAR(B264),1,1))/(DATE(YEAR(B264)+1,1,1)-DATE(YEAR(B264),1,1))+YEAR(B264)-YEAR(B263)-1)</f>
        <v/>
      </c>
      <c r="F264" s="8">
        <f>K263</f>
        <v/>
      </c>
      <c r="G264" s="7">
        <f>$B$10</f>
        <v/>
      </c>
      <c r="H264" s="8">
        <f>F264*G264*E264</f>
        <v/>
      </c>
      <c r="I264" s="8">
        <f>SUM(H264:H264)</f>
        <v/>
      </c>
      <c r="J264" s="8">
        <f>$B$7/$B$13</f>
        <v/>
      </c>
      <c r="K264" s="8">
        <f>F264-J264</f>
        <v/>
      </c>
    </row>
    <row r="265">
      <c r="A265" t="n">
        <v>269</v>
      </c>
      <c r="B265" s="10">
        <f>MIN(DATE(YEAR($E$3),MONTH($E$3)+A265*$E$4,MIN($E$5,DAY(EOMONTH(DATE(YEAR($E$3),MONTH($E$3)+A265*$E$4,1),0)))),$B$6)</f>
        <v/>
      </c>
      <c r="C265" t="inlineStr">
        <is>
          <t>проценты, тело</t>
        </is>
      </c>
      <c r="D265">
        <f>B265-B264</f>
        <v/>
      </c>
      <c r="E265" s="11">
        <f>IF(YEAR(B264)=YEAR(B265),(B265-B264)/(DATE(YEAR(B264)+1,1,1)-DATE(YEAR(B264),1,1)),(DATE(YEAR(B264)+1,1,1)-B264)/(DATE(YEAR(B264)+1,1,1)-DATE(YEAR(B264),1,1))+(B265-DATE(YEAR(B265),1,1))/(DATE(YEAR(B265)+1,1,1)-DATE(YEAR(B265),1,1))+YEAR(B265)-YEAR(B264)-1)</f>
        <v/>
      </c>
      <c r="F265" s="8">
        <f>K264</f>
        <v/>
      </c>
      <c r="G265" s="7">
        <f>$B$10</f>
        <v/>
      </c>
      <c r="H265" s="8">
        <f>F265*G265*E265</f>
        <v/>
      </c>
      <c r="I265" s="8">
        <f>SUM(H265:H265)</f>
        <v/>
      </c>
      <c r="J265" s="8">
        <f>$B$7/$B$13</f>
        <v/>
      </c>
      <c r="K265" s="8">
        <f>F265-J265</f>
        <v/>
      </c>
    </row>
    <row r="266">
      <c r="A266" t="n">
        <v>270</v>
      </c>
      <c r="B266" s="10">
        <f>MIN(DATE(YEAR($E$3),MONTH($E$3)+A266*$E$4,MIN($E$5,DAY(EOMONTH(DATE(YEAR($E$3),MONTH($E$3)+A266*$E$4,1),0)))),$B$6)</f>
        <v/>
      </c>
      <c r="C266" t="inlineStr">
        <is>
          <t>проценты, тело</t>
        </is>
      </c>
      <c r="D266">
        <f>B266-B265</f>
        <v/>
      </c>
      <c r="E266" s="11">
        <f>IF(YEAR(B265)=YEAR(B266),(B266-B265)/(DATE(YEAR(B265)+1,1,1)-DATE(YEAR(B265),1,1)),(DATE(YEAR(B265)+1,1,1)-B265)/(DATE(YEAR(B265)+1,1,1)-DATE(YEAR(B265),1,1))+(B266-DATE(YEAR(B266),1,1))/(DATE(YEAR(B266)+1,1,1)-DATE(YEAR(B266),1,1))+YEAR(B266)-YEAR(B265)-1)</f>
        <v/>
      </c>
      <c r="F266" s="8">
        <f>K265</f>
        <v/>
      </c>
      <c r="G266" s="7">
        <f>$B$10</f>
        <v/>
      </c>
      <c r="H266" s="8">
        <f>F266*G266*E266</f>
        <v/>
      </c>
      <c r="I266" s="8">
        <f>SUM(H266:H266)</f>
        <v/>
      </c>
      <c r="J266" s="8">
        <f>$B$7/$B$13</f>
        <v/>
      </c>
      <c r="K266" s="8">
        <f>F266-J266</f>
        <v/>
      </c>
    </row>
    <row r="267">
      <c r="A267" t="n">
        <v>271</v>
      </c>
      <c r="B267" s="10">
        <f>MIN(DATE(YEAR($E$3),MONTH($E$3)+A267*$E$4,MIN($E$5,DAY(EOMONTH(DATE(YEAR($E$3),MONTH($E$3)+A267*$E$4,1),0)))),$B$6)</f>
        <v/>
      </c>
      <c r="C267" t="inlineStr">
        <is>
          <t>проценты, тело</t>
        </is>
      </c>
      <c r="D267">
        <f>B267-B266</f>
        <v/>
      </c>
      <c r="E267" s="11">
        <f>IF(YEAR(B266)=YEAR(B267),(B267-B266)/(DATE(YEAR(B266)+1,1,1)-DATE(YEAR(B266),1,1)),(DATE(YEAR(B266)+1,1,1)-B266)/(DATE(YEAR(B266)+1,1,1)-DATE(YEAR(B266),1,1))+(B267-DATE(YEAR(B267),1,1))/(DATE(YEAR(B267)+1,1,1)-DATE(YEAR(B267),1,1))+YEAR(B267)-YEAR(B266)-1)</f>
        <v/>
      </c>
      <c r="F267" s="8">
        <f>K266</f>
        <v/>
      </c>
      <c r="G267" s="7">
        <f>$B$10</f>
        <v/>
      </c>
      <c r="H267" s="8">
        <f>F267*G267*E267</f>
        <v/>
      </c>
      <c r="I267" s="8">
        <f>SUM(H267:H267)</f>
        <v/>
      </c>
      <c r="J267" s="8">
        <f>$B$7/$B$13</f>
        <v/>
      </c>
      <c r="K267" s="8">
        <f>F267-J267</f>
        <v/>
      </c>
    </row>
    <row r="268">
      <c r="A268" t="n">
        <v>272</v>
      </c>
      <c r="B268" s="10">
        <f>MIN(DATE(YEAR($E$3),MONTH($E$3)+A268*$E$4,MIN($E$5,DAY(EOMONTH(DATE(YEAR($E$3),MONTH($E$3)+A268*$E$4,1),0)))),$B$6)</f>
        <v/>
      </c>
      <c r="C268" t="inlineStr">
        <is>
          <t>проценты, тело</t>
        </is>
      </c>
      <c r="D268">
        <f>B268-B267</f>
        <v/>
      </c>
      <c r="E268" s="11">
        <f>IF(YEAR(B267)=YEAR(B268),(B268-B267)/(DATE(YEAR(B267)+1,1,1)-DATE(YEAR(B267),1,1)),(DATE(YEAR(B267)+1,1,1)-B267)/(DATE(YEAR(B267)+1,1,1)-DATE(YEAR(B267),1,1))+(B268-DATE(YEAR(B268),1,1))/(DATE(YEAR(B268)+1,1,1)-DATE(YEAR(B268),1,1))+YEAR(B268)-YEAR(B267)-1)</f>
        <v/>
      </c>
      <c r="F268" s="8">
        <f>K267</f>
        <v/>
      </c>
      <c r="G268" s="7">
        <f>$B$10</f>
        <v/>
      </c>
      <c r="H268" s="8">
        <f>F268*G268*E268</f>
        <v/>
      </c>
      <c r="I268" s="8">
        <f>SUM(H268:H268)</f>
        <v/>
      </c>
      <c r="J268" s="8">
        <f>$B$7/$B$13</f>
        <v/>
      </c>
      <c r="K268" s="8">
        <f>F268-J268</f>
        <v/>
      </c>
    </row>
    <row r="269">
      <c r="A269" t="n">
        <v>273</v>
      </c>
      <c r="B269" s="10">
        <f>MIN(DATE(YEAR($E$3),MONTH($E$3)+A269*$E$4,MIN($E$5,DAY(EOMONTH(DATE(YEAR($E$3),MONTH($E$3)+A269*$E$4,1),0)))),$B$6)</f>
        <v/>
      </c>
      <c r="C269" t="inlineStr">
        <is>
          <t>проценты, тело</t>
        </is>
      </c>
      <c r="D269">
        <f>B269-B268</f>
        <v/>
      </c>
      <c r="E269" s="11">
        <f>IF(YEAR(B268)=YEAR(B269),(B269-B268)/(DATE(YEAR(B268)+1,1,1)-DATE(YEAR(B268),1,1)),(DATE(YEAR(B268)+1,1,1)-B268)/(DATE(YEAR(B268)+1,1,1)-DATE(YEAR(B268),1,1))+(B269-DATE(YEAR(B269),1,1))/(DATE(YEAR(B269)+1,1,1)-DATE(YEAR(B269),1,1))+YEAR(B269)-YEAR(B268)-1)</f>
        <v/>
      </c>
      <c r="F269" s="8">
        <f>K268</f>
        <v/>
      </c>
      <c r="G269" s="7">
        <f>$B$10</f>
        <v/>
      </c>
      <c r="H269" s="8">
        <f>F269*G269*E269</f>
        <v/>
      </c>
      <c r="I269" s="8">
        <f>SUM(H269:H269)</f>
        <v/>
      </c>
      <c r="J269" s="8">
        <f>$B$7/$B$13</f>
        <v/>
      </c>
      <c r="K269" s="8">
        <f>F269-J269</f>
        <v/>
      </c>
    </row>
    <row r="270">
      <c r="A270" t="n">
        <v>274</v>
      </c>
      <c r="B270" s="10">
        <f>MIN(DATE(YEAR($E$3),MONTH($E$3)+A270*$E$4,MIN($E$5,DAY(EOMONTH(DATE(YEAR($E$3),MONTH($E$3)+A270*$E$4,1),0)))),$B$6)</f>
        <v/>
      </c>
      <c r="C270" t="inlineStr">
        <is>
          <t>проценты, тело</t>
        </is>
      </c>
      <c r="D270">
        <f>B270-B269</f>
        <v/>
      </c>
      <c r="E270" s="11">
        <f>IF(YEAR(B269)=YEAR(B270),(B270-B269)/(DATE(YEAR(B269)+1,1,1)-DATE(YEAR(B269),1,1)),(DATE(YEAR(B269)+1,1,1)-B269)/(DATE(YEAR(B269)+1,1,1)-DATE(YEAR(B269),1,1))+(B270-DATE(YEAR(B270),1,1))/(DATE(YEAR(B270)+1,1,1)-DATE(YEAR(B270),1,1))+YEAR(B270)-YEAR(B269)-1)</f>
        <v/>
      </c>
      <c r="F270" s="8">
        <f>K269</f>
        <v/>
      </c>
      <c r="G270" s="7">
        <f>$B$10</f>
        <v/>
      </c>
      <c r="H270" s="8">
        <f>F270*G270*E270</f>
        <v/>
      </c>
      <c r="I270" s="8">
        <f>SUM(H270:H270)</f>
        <v/>
      </c>
      <c r="J270" s="8">
        <f>$B$7/$B$13</f>
        <v/>
      </c>
      <c r="K270" s="8">
        <f>F270-J270</f>
        <v/>
      </c>
    </row>
    <row r="271">
      <c r="A271" t="n">
        <v>275</v>
      </c>
      <c r="B271" s="10">
        <f>MIN(DATE(YEAR($E$3),MONTH($E$3)+A271*$E$4,MIN($E$5,DAY(EOMONTH(DATE(YEAR($E$3),MONTH($E$3)+A271*$E$4,1),0)))),$B$6)</f>
        <v/>
      </c>
      <c r="C271" t="inlineStr">
        <is>
          <t>проценты, тело</t>
        </is>
      </c>
      <c r="D271">
        <f>B271-B270</f>
        <v/>
      </c>
      <c r="E271" s="11">
        <f>IF(YEAR(B270)=YEAR(B271),(B271-B270)/(DATE(YEAR(B270)+1,1,1)-DATE(YEAR(B270),1,1)),(DATE(YEAR(B270)+1,1,1)-B270)/(DATE(YEAR(B270)+1,1,1)-DATE(YEAR(B270),1,1))+(B271-DATE(YEAR(B271),1,1))/(DATE(YEAR(B271)+1,1,1)-DATE(YEAR(B271),1,1))+YEAR(B271)-YEAR(B270)-1)</f>
        <v/>
      </c>
      <c r="F271" s="8">
        <f>K270</f>
        <v/>
      </c>
      <c r="G271" s="7">
        <f>$B$10</f>
        <v/>
      </c>
      <c r="H271" s="8">
        <f>F271*G271*E271</f>
        <v/>
      </c>
      <c r="I271" s="8">
        <f>SUM(H271:H271)</f>
        <v/>
      </c>
      <c r="J271" s="8">
        <f>$B$7/$B$13</f>
        <v/>
      </c>
      <c r="K271" s="8">
        <f>F271-J271</f>
        <v/>
      </c>
    </row>
    <row r="272">
      <c r="A272" t="n">
        <v>276</v>
      </c>
      <c r="B272" s="10">
        <f>MIN(DATE(YEAR($E$3),MONTH($E$3)+A272*$E$4,MIN($E$5,DAY(EOMONTH(DATE(YEAR($E$3),MONTH($E$3)+A272*$E$4,1),0)))),$B$6)</f>
        <v/>
      </c>
      <c r="C272" t="inlineStr">
        <is>
          <t>проценты, тело</t>
        </is>
      </c>
      <c r="D272">
        <f>B272-B271</f>
        <v/>
      </c>
      <c r="E272" s="11">
        <f>IF(YEAR(B271)=YEAR(B272),(B272-B271)/(DATE(YEAR(B271)+1,1,1)-DATE(YEAR(B271),1,1)),(DATE(YEAR(B271)+1,1,1)-B271)/(DATE(YEAR(B271)+1,1,1)-DATE(YEAR(B271),1,1))+(B272-DATE(YEAR(B272),1,1))/(DATE(YEAR(B272)+1,1,1)-DATE(YEAR(B272),1,1))+YEAR(B272)-YEAR(B271)-1)</f>
        <v/>
      </c>
      <c r="F272" s="8">
        <f>K271</f>
        <v/>
      </c>
      <c r="G272" s="7">
        <f>$B$10</f>
        <v/>
      </c>
      <c r="H272" s="8">
        <f>F272*G272*E272</f>
        <v/>
      </c>
      <c r="I272" s="8">
        <f>SUM(H272:H272)</f>
        <v/>
      </c>
      <c r="J272" s="8">
        <f>$B$7/$B$13</f>
        <v/>
      </c>
      <c r="K272" s="8">
        <f>F272-J272</f>
        <v/>
      </c>
    </row>
    <row r="273">
      <c r="A273" t="n">
        <v>277</v>
      </c>
      <c r="B273" s="10">
        <f>MIN(DATE(YEAR($E$3),MONTH($E$3)+A273*$E$4,MIN($E$5,DAY(EOMONTH(DATE(YEAR($E$3),MONTH($E$3)+A273*$E$4,1),0)))),$B$6)</f>
        <v/>
      </c>
      <c r="C273" t="inlineStr">
        <is>
          <t>проценты, тело</t>
        </is>
      </c>
      <c r="D273">
        <f>B273-B272</f>
        <v/>
      </c>
      <c r="E273" s="11">
        <f>IF(YEAR(B272)=YEAR(B273),(B273-B272)/(DATE(YEAR(B272)+1,1,1)-DATE(YEAR(B272),1,1)),(DATE(YEAR(B272)+1,1,1)-B272)/(DATE(YEAR(B272)+1,1,1)-DATE(YEAR(B272),1,1))+(B273-DATE(YEAR(B273),1,1))/(DATE(YEAR(B273)+1,1,1)-DATE(YEAR(B273),1,1))+YEAR(B273)-YEAR(B272)-1)</f>
        <v/>
      </c>
      <c r="F273" s="8">
        <f>K272</f>
        <v/>
      </c>
      <c r="G273" s="7">
        <f>$B$10</f>
        <v/>
      </c>
      <c r="H273" s="8">
        <f>F273*G273*E273</f>
        <v/>
      </c>
      <c r="I273" s="8">
        <f>SUM(H273:H273)</f>
        <v/>
      </c>
      <c r="J273" s="8">
        <f>$B$7/$B$13</f>
        <v/>
      </c>
      <c r="K273" s="8">
        <f>F273-J273</f>
        <v/>
      </c>
    </row>
    <row r="274">
      <c r="A274" t="n">
        <v>278</v>
      </c>
      <c r="B274" s="10">
        <f>MIN(DATE(YEAR($E$3),MONTH($E$3)+A274*$E$4,MIN($E$5,DAY(EOMONTH(DATE(YEAR($E$3),MONTH($E$3)+A274*$E$4,1),0)))),$B$6)</f>
        <v/>
      </c>
      <c r="C274" t="inlineStr">
        <is>
          <t>проценты, тело</t>
        </is>
      </c>
      <c r="D274">
        <f>B274-B273</f>
        <v/>
      </c>
      <c r="E274" s="11">
        <f>IF(YEAR(B273)=YEAR(B274),(B274-B273)/(DATE(YEAR(B273)+1,1,1)-DATE(YEAR(B273),1,1)),(DATE(YEAR(B273)+1,1,1)-B273)/(DATE(YEAR(B273)+1,1,1)-DATE(YEAR(B273),1,1))+(B274-DATE(YEAR(B274),1,1))/(DATE(YEAR(B274)+1,1,1)-DATE(YEAR(B274),1,1))+YEAR(B274)-YEAR(B273)-1)</f>
        <v/>
      </c>
      <c r="F274" s="8">
        <f>K273</f>
        <v/>
      </c>
      <c r="G274" s="7">
        <f>$B$10</f>
        <v/>
      </c>
      <c r="H274" s="8">
        <f>F274*G274*E274</f>
        <v/>
      </c>
      <c r="I274" s="8">
        <f>SUM(H274:H274)</f>
        <v/>
      </c>
      <c r="J274" s="8">
        <f>$B$7/$B$13</f>
        <v/>
      </c>
      <c r="K274" s="8">
        <f>F274-J274</f>
        <v/>
      </c>
    </row>
    <row r="275">
      <c r="A275" t="n">
        <v>279</v>
      </c>
      <c r="B275" s="10">
        <f>MIN(DATE(YEAR($E$3),MONTH($E$3)+A275*$E$4,MIN($E$5,DAY(EOMONTH(DATE(YEAR($E$3),MONTH($E$3)+A275*$E$4,1),0)))),$B$6)</f>
        <v/>
      </c>
      <c r="C275" t="inlineStr">
        <is>
          <t>проценты, тело</t>
        </is>
      </c>
      <c r="D275">
        <f>B275-B274</f>
        <v/>
      </c>
      <c r="E275" s="11">
        <f>IF(YEAR(B274)=YEAR(B275),(B275-B274)/(DATE(YEAR(B274)+1,1,1)-DATE(YEAR(B274),1,1)),(DATE(YEAR(B274)+1,1,1)-B274)/(DATE(YEAR(B274)+1,1,1)-DATE(YEAR(B274),1,1))+(B275-DATE(YEAR(B275),1,1))/(DATE(YEAR(B275)+1,1,1)-DATE(YEAR(B275),1,1))+YEAR(B275)-YEAR(B274)-1)</f>
        <v/>
      </c>
      <c r="F275" s="8">
        <f>K274</f>
        <v/>
      </c>
      <c r="G275" s="7">
        <f>$B$10</f>
        <v/>
      </c>
      <c r="H275" s="8">
        <f>F275*G275*E275</f>
        <v/>
      </c>
      <c r="I275" s="8">
        <f>SUM(H275:H275)</f>
        <v/>
      </c>
      <c r="J275" s="8">
        <f>$B$7/$B$13</f>
        <v/>
      </c>
      <c r="K275" s="8">
        <f>F275-J275</f>
        <v/>
      </c>
    </row>
    <row r="276">
      <c r="A276" t="n">
        <v>280</v>
      </c>
      <c r="B276" s="10">
        <f>MIN(DATE(YEAR($E$3),MONTH($E$3)+A276*$E$4,MIN($E$5,DAY(EOMONTH(DATE(YEAR($E$3),MONTH($E$3)+A276*$E$4,1),0)))),$B$6)</f>
        <v/>
      </c>
      <c r="C276" t="inlineStr">
        <is>
          <t>проценты, тело</t>
        </is>
      </c>
      <c r="D276">
        <f>B276-B275</f>
        <v/>
      </c>
      <c r="E276" s="11">
        <f>IF(YEAR(B275)=YEAR(B276),(B276-B275)/(DATE(YEAR(B275)+1,1,1)-DATE(YEAR(B275),1,1)),(DATE(YEAR(B275)+1,1,1)-B275)/(DATE(YEAR(B275)+1,1,1)-DATE(YEAR(B275),1,1))+(B276-DATE(YEAR(B276),1,1))/(DATE(YEAR(B276)+1,1,1)-DATE(YEAR(B276),1,1))+YEAR(B276)-YEAR(B275)-1)</f>
        <v/>
      </c>
      <c r="F276" s="8">
        <f>K275</f>
        <v/>
      </c>
      <c r="G276" s="7">
        <f>$B$10</f>
        <v/>
      </c>
      <c r="H276" s="8">
        <f>F276*G276*E276</f>
        <v/>
      </c>
      <c r="I276" s="8">
        <f>SUM(H276:H276)</f>
        <v/>
      </c>
      <c r="J276" s="8">
        <f>$B$7/$B$13</f>
        <v/>
      </c>
      <c r="K276" s="8">
        <f>F276-J276</f>
        <v/>
      </c>
    </row>
    <row r="277">
      <c r="A277" t="n">
        <v>281</v>
      </c>
      <c r="B277" s="10">
        <f>MIN(DATE(YEAR($E$3),MONTH($E$3)+A277*$E$4,MIN($E$5,DAY(EOMONTH(DATE(YEAR($E$3),MONTH($E$3)+A277*$E$4,1),0)))),$B$6)</f>
        <v/>
      </c>
      <c r="C277" t="inlineStr">
        <is>
          <t>проценты, тело</t>
        </is>
      </c>
      <c r="D277">
        <f>B277-B276</f>
        <v/>
      </c>
      <c r="E277" s="11">
        <f>IF(YEAR(B276)=YEAR(B277),(B277-B276)/(DATE(YEAR(B276)+1,1,1)-DATE(YEAR(B276),1,1)),(DATE(YEAR(B276)+1,1,1)-B276)/(DATE(YEAR(B276)+1,1,1)-DATE(YEAR(B276),1,1))+(B277-DATE(YEAR(B277),1,1))/(DATE(YEAR(B277)+1,1,1)-DATE(YEAR(B277),1,1))+YEAR(B277)-YEAR(B276)-1)</f>
        <v/>
      </c>
      <c r="F277" s="8">
        <f>K276</f>
        <v/>
      </c>
      <c r="G277" s="7">
        <f>$B$10</f>
        <v/>
      </c>
      <c r="H277" s="8">
        <f>F277*G277*E277</f>
        <v/>
      </c>
      <c r="I277" s="8">
        <f>SUM(H277:H277)</f>
        <v/>
      </c>
      <c r="J277" s="8">
        <f>$B$7/$B$13</f>
        <v/>
      </c>
      <c r="K277" s="8">
        <f>F277-J277</f>
        <v/>
      </c>
    </row>
    <row r="278">
      <c r="A278" t="n">
        <v>282</v>
      </c>
      <c r="B278" s="10">
        <f>MIN(DATE(YEAR($E$3),MONTH($E$3)+A278*$E$4,MIN($E$5,DAY(EOMONTH(DATE(YEAR($E$3),MONTH($E$3)+A278*$E$4,1),0)))),$B$6)</f>
        <v/>
      </c>
      <c r="C278" t="inlineStr">
        <is>
          <t>проценты, тело</t>
        </is>
      </c>
      <c r="D278">
        <f>B278-B277</f>
        <v/>
      </c>
      <c r="E278" s="11">
        <f>IF(YEAR(B277)=YEAR(B278),(B278-B277)/(DATE(YEAR(B277)+1,1,1)-DATE(YEAR(B277),1,1)),(DATE(YEAR(B277)+1,1,1)-B277)/(DATE(YEAR(B277)+1,1,1)-DATE(YEAR(B277),1,1))+(B278-DATE(YEAR(B278),1,1))/(DATE(YEAR(B278)+1,1,1)-DATE(YEAR(B278),1,1))+YEAR(B278)-YEAR(B277)-1)</f>
        <v/>
      </c>
      <c r="F278" s="8">
        <f>K277</f>
        <v/>
      </c>
      <c r="G278" s="7">
        <f>$B$10</f>
        <v/>
      </c>
      <c r="H278" s="8">
        <f>F278*G278*E278</f>
        <v/>
      </c>
      <c r="I278" s="8">
        <f>SUM(H278:H278)</f>
        <v/>
      </c>
      <c r="J278" s="8">
        <f>$B$7/$B$13</f>
        <v/>
      </c>
      <c r="K278" s="8">
        <f>F278-J278</f>
        <v/>
      </c>
    </row>
    <row r="279">
      <c r="A279" t="n">
        <v>283</v>
      </c>
      <c r="B279" s="10">
        <f>MIN(DATE(YEAR($E$3),MONTH($E$3)+A279*$E$4,MIN($E$5,DAY(EOMONTH(DATE(YEAR($E$3),MONTH($E$3)+A279*$E$4,1),0)))),$B$6)</f>
        <v/>
      </c>
      <c r="C279" t="inlineStr">
        <is>
          <t>проценты, тело</t>
        </is>
      </c>
      <c r="D279">
        <f>B279-B278</f>
        <v/>
      </c>
      <c r="E279" s="11">
        <f>IF(YEAR(B278)=YEAR(B279),(B279-B278)/(DATE(YEAR(B278)+1,1,1)-DATE(YEAR(B278),1,1)),(DATE(YEAR(B278)+1,1,1)-B278)/(DATE(YEAR(B278)+1,1,1)-DATE(YEAR(B278),1,1))+(B279-DATE(YEAR(B279),1,1))/(DATE(YEAR(B279)+1,1,1)-DATE(YEAR(B279),1,1))+YEAR(B279)-YEAR(B278)-1)</f>
        <v/>
      </c>
      <c r="F279" s="8">
        <f>K278</f>
        <v/>
      </c>
      <c r="G279" s="7">
        <f>$B$10</f>
        <v/>
      </c>
      <c r="H279" s="8">
        <f>F279*G279*E279</f>
        <v/>
      </c>
      <c r="I279" s="8">
        <f>SUM(H279:H279)</f>
        <v/>
      </c>
      <c r="J279" s="8">
        <f>$B$7/$B$13</f>
        <v/>
      </c>
      <c r="K279" s="8">
        <f>F279-J279</f>
        <v/>
      </c>
    </row>
    <row r="280">
      <c r="A280" t="n">
        <v>284</v>
      </c>
      <c r="B280" s="10">
        <f>MIN(DATE(YEAR($E$3),MONTH($E$3)+A280*$E$4,MIN($E$5,DAY(EOMONTH(DATE(YEAR($E$3),MONTH($E$3)+A280*$E$4,1),0)))),$B$6)</f>
        <v/>
      </c>
      <c r="C280" t="inlineStr">
        <is>
          <t>проценты, тело</t>
        </is>
      </c>
      <c r="D280">
        <f>B280-B279</f>
        <v/>
      </c>
      <c r="E280" s="11">
        <f>IF(YEAR(B279)=YEAR(B280),(B280-B279)/(DATE(YEAR(B279)+1,1,1)-DATE(YEAR(B279),1,1)),(DATE(YEAR(B279)+1,1,1)-B279)/(DATE(YEAR(B279)+1,1,1)-DATE(YEAR(B279),1,1))+(B280-DATE(YEAR(B280),1,1))/(DATE(YEAR(B280)+1,1,1)-DATE(YEAR(B280),1,1))+YEAR(B280)-YEAR(B279)-1)</f>
        <v/>
      </c>
      <c r="F280" s="8">
        <f>K279</f>
        <v/>
      </c>
      <c r="G280" s="7">
        <f>$B$10</f>
        <v/>
      </c>
      <c r="H280" s="8">
        <f>F280*G280*E280</f>
        <v/>
      </c>
      <c r="I280" s="8">
        <f>SUM(H280:H280)</f>
        <v/>
      </c>
      <c r="J280" s="8">
        <f>$B$7/$B$13</f>
        <v/>
      </c>
      <c r="K280" s="8">
        <f>F280-J280</f>
        <v/>
      </c>
    </row>
    <row r="281">
      <c r="A281" t="n">
        <v>285</v>
      </c>
      <c r="B281" s="10">
        <f>MIN(DATE(YEAR($E$3),MONTH($E$3)+A281*$E$4,MIN($E$5,DAY(EOMONTH(DATE(YEAR($E$3),MONTH($E$3)+A281*$E$4,1),0)))),$B$6)</f>
        <v/>
      </c>
      <c r="C281" t="inlineStr">
        <is>
          <t>проценты, тело</t>
        </is>
      </c>
      <c r="D281">
        <f>B281-B280</f>
        <v/>
      </c>
      <c r="E281" s="11">
        <f>IF(YEAR(B280)=YEAR(B281),(B281-B280)/(DATE(YEAR(B280)+1,1,1)-DATE(YEAR(B280),1,1)),(DATE(YEAR(B280)+1,1,1)-B280)/(DATE(YEAR(B280)+1,1,1)-DATE(YEAR(B280),1,1))+(B281-DATE(YEAR(B281),1,1))/(DATE(YEAR(B281)+1,1,1)-DATE(YEAR(B281),1,1))+YEAR(B281)-YEAR(B280)-1)</f>
        <v/>
      </c>
      <c r="F281" s="8">
        <f>K280</f>
        <v/>
      </c>
      <c r="G281" s="7">
        <f>$B$10</f>
        <v/>
      </c>
      <c r="H281" s="8">
        <f>F281*G281*E281</f>
        <v/>
      </c>
      <c r="I281" s="8">
        <f>SUM(H281:H281)</f>
        <v/>
      </c>
      <c r="J281" s="8">
        <f>$B$7/$B$13</f>
        <v/>
      </c>
      <c r="K281" s="8">
        <f>F281-J281</f>
        <v/>
      </c>
    </row>
    <row r="282">
      <c r="A282" t="n">
        <v>286</v>
      </c>
      <c r="B282" s="10">
        <f>MIN(DATE(YEAR($E$3),MONTH($E$3)+A282*$E$4,MIN($E$5,DAY(EOMONTH(DATE(YEAR($E$3),MONTH($E$3)+A282*$E$4,1),0)))),$B$6)</f>
        <v/>
      </c>
      <c r="C282" t="inlineStr">
        <is>
          <t>проценты, тело</t>
        </is>
      </c>
      <c r="D282">
        <f>B282-B281</f>
        <v/>
      </c>
      <c r="E282" s="11">
        <f>IF(YEAR(B281)=YEAR(B282),(B282-B281)/(DATE(YEAR(B281)+1,1,1)-DATE(YEAR(B281),1,1)),(DATE(YEAR(B281)+1,1,1)-B281)/(DATE(YEAR(B281)+1,1,1)-DATE(YEAR(B281),1,1))+(B282-DATE(YEAR(B282),1,1))/(DATE(YEAR(B282)+1,1,1)-DATE(YEAR(B282),1,1))+YEAR(B282)-YEAR(B281)-1)</f>
        <v/>
      </c>
      <c r="F282" s="8">
        <f>K281</f>
        <v/>
      </c>
      <c r="G282" s="7">
        <f>$B$10</f>
        <v/>
      </c>
      <c r="H282" s="8">
        <f>F282*G282*E282</f>
        <v/>
      </c>
      <c r="I282" s="8">
        <f>SUM(H282:H282)</f>
        <v/>
      </c>
      <c r="J282" s="8">
        <f>$B$7/$B$13</f>
        <v/>
      </c>
      <c r="K282" s="8">
        <f>F282-J282</f>
        <v/>
      </c>
    </row>
    <row r="283">
      <c r="A283" t="n">
        <v>287</v>
      </c>
      <c r="B283" s="10">
        <f>MIN(DATE(YEAR($E$3),MONTH($E$3)+A283*$E$4,MIN($E$5,DAY(EOMONTH(DATE(YEAR($E$3),MONTH($E$3)+A283*$E$4,1),0)))),$B$6)</f>
        <v/>
      </c>
      <c r="C283" t="inlineStr">
        <is>
          <t>проценты, тело</t>
        </is>
      </c>
      <c r="D283">
        <f>B283-B282</f>
        <v/>
      </c>
      <c r="E283" s="11">
        <f>IF(YEAR(B282)=YEAR(B283),(B283-B282)/(DATE(YEAR(B282)+1,1,1)-DATE(YEAR(B282),1,1)),(DATE(YEAR(B282)+1,1,1)-B282)/(DATE(YEAR(B282)+1,1,1)-DATE(YEAR(B282),1,1))+(B283-DATE(YEAR(B283),1,1))/(DATE(YEAR(B283)+1,1,1)-DATE(YEAR(B283),1,1))+YEAR(B283)-YEAR(B282)-1)</f>
        <v/>
      </c>
      <c r="F283" s="8">
        <f>K282</f>
        <v/>
      </c>
      <c r="G283" s="7">
        <f>$B$10</f>
        <v/>
      </c>
      <c r="H283" s="8">
        <f>F283*G283*E283</f>
        <v/>
      </c>
      <c r="I283" s="8">
        <f>SUM(H283:H283)</f>
        <v/>
      </c>
      <c r="J283" s="8">
        <f>$B$7/$B$13</f>
        <v/>
      </c>
      <c r="K283" s="8">
        <f>F283-J283</f>
        <v/>
      </c>
    </row>
    <row r="284">
      <c r="A284" t="n">
        <v>288</v>
      </c>
      <c r="B284" s="10">
        <f>MIN(DATE(YEAR($E$3),MONTH($E$3)+A284*$E$4,MIN($E$5,DAY(EOMONTH(DATE(YEAR($E$3),MONTH($E$3)+A284*$E$4,1),0)))),$B$6)</f>
        <v/>
      </c>
      <c r="C284" t="inlineStr">
        <is>
          <t>проценты, тело</t>
        </is>
      </c>
      <c r="D284">
        <f>B284-B283</f>
        <v/>
      </c>
      <c r="E284" s="11">
        <f>IF(YEAR(B283)=YEAR(B284),(B284-B283)/(DATE(YEAR(B283)+1,1,1)-DATE(YEAR(B283),1,1)),(DATE(YEAR(B283)+1,1,1)-B283)/(DATE(YEAR(B283)+1,1,1)-DATE(YEAR(B283),1,1))+(B284-DATE(YEAR(B284),1,1))/(DATE(YEAR(B284)+1,1,1)-DATE(YEAR(B284),1,1))+YEAR(B284)-YEAR(B283)-1)</f>
        <v/>
      </c>
      <c r="F284" s="8">
        <f>K283</f>
        <v/>
      </c>
      <c r="G284" s="7">
        <f>$B$10</f>
        <v/>
      </c>
      <c r="H284" s="8">
        <f>F284*G284*E284</f>
        <v/>
      </c>
      <c r="I284" s="8">
        <f>SUM(H284:H284)</f>
        <v/>
      </c>
      <c r="J284" s="8">
        <f>$B$7/$B$13</f>
        <v/>
      </c>
      <c r="K284" s="8">
        <f>F284-J284</f>
        <v/>
      </c>
    </row>
    <row r="285">
      <c r="A285" t="n">
        <v>289</v>
      </c>
      <c r="B285" s="10">
        <f>MIN(DATE(YEAR($E$3),MONTH($E$3)+A285*$E$4,MIN($E$5,DAY(EOMONTH(DATE(YEAR($E$3),MONTH($E$3)+A285*$E$4,1),0)))),$B$6)</f>
        <v/>
      </c>
      <c r="C285" t="inlineStr">
        <is>
          <t>проценты, тело</t>
        </is>
      </c>
      <c r="D285">
        <f>B285-B284</f>
        <v/>
      </c>
      <c r="E285" s="11">
        <f>IF(YEAR(B284)=YEAR(B285),(B285-B284)/(DATE(YEAR(B284)+1,1,1)-DATE(YEAR(B284),1,1)),(DATE(YEAR(B284)+1,1,1)-B284)/(DATE(YEAR(B284)+1,1,1)-DATE(YEAR(B284),1,1))+(B285-DATE(YEAR(B285),1,1))/(DATE(YEAR(B285)+1,1,1)-DATE(YEAR(B285),1,1))+YEAR(B285)-YEAR(B284)-1)</f>
        <v/>
      </c>
      <c r="F285" s="8">
        <f>K284</f>
        <v/>
      </c>
      <c r="G285" s="7">
        <f>$B$10</f>
        <v/>
      </c>
      <c r="H285" s="8">
        <f>F285*G285*E285</f>
        <v/>
      </c>
      <c r="I285" s="8">
        <f>SUM(H285:H285)</f>
        <v/>
      </c>
      <c r="J285" s="8">
        <f>$B$7/$B$13</f>
        <v/>
      </c>
      <c r="K285" s="8">
        <f>F285-J285</f>
        <v/>
      </c>
    </row>
    <row r="286">
      <c r="A286" t="n">
        <v>290</v>
      </c>
      <c r="B286" s="10">
        <f>MIN(DATE(YEAR($E$3),MONTH($E$3)+A286*$E$4,MIN($E$5,DAY(EOMONTH(DATE(YEAR($E$3),MONTH($E$3)+A286*$E$4,1),0)))),$B$6)</f>
        <v/>
      </c>
      <c r="C286" t="inlineStr">
        <is>
          <t>проценты, тело</t>
        </is>
      </c>
      <c r="D286">
        <f>B286-B285</f>
        <v/>
      </c>
      <c r="E286" s="11">
        <f>IF(YEAR(B285)=YEAR(B286),(B286-B285)/(DATE(YEAR(B285)+1,1,1)-DATE(YEAR(B285),1,1)),(DATE(YEAR(B285)+1,1,1)-B285)/(DATE(YEAR(B285)+1,1,1)-DATE(YEAR(B285),1,1))+(B286-DATE(YEAR(B286),1,1))/(DATE(YEAR(B286)+1,1,1)-DATE(YEAR(B286),1,1))+YEAR(B286)-YEAR(B285)-1)</f>
        <v/>
      </c>
      <c r="F286" s="8">
        <f>K285</f>
        <v/>
      </c>
      <c r="G286" s="7">
        <f>$B$10</f>
        <v/>
      </c>
      <c r="H286" s="8">
        <f>F286*G286*E286</f>
        <v/>
      </c>
      <c r="I286" s="8">
        <f>SUM(H286:H286)</f>
        <v/>
      </c>
      <c r="J286" s="8">
        <f>$B$7/$B$13</f>
        <v/>
      </c>
      <c r="K286" s="8">
        <f>F286-J286</f>
        <v/>
      </c>
    </row>
    <row r="287">
      <c r="A287" t="n">
        <v>291</v>
      </c>
      <c r="B287" s="10">
        <f>MIN(DATE(YEAR($E$3),MONTH($E$3)+A287*$E$4,MIN($E$5,DAY(EOMONTH(DATE(YEAR($E$3),MONTH($E$3)+A287*$E$4,1),0)))),$B$6)</f>
        <v/>
      </c>
      <c r="C287" t="inlineStr">
        <is>
          <t>проценты, тело</t>
        </is>
      </c>
      <c r="D287">
        <f>B287-B286</f>
        <v/>
      </c>
      <c r="E287" s="11">
        <f>IF(YEAR(B286)=YEAR(B287),(B287-B286)/(DATE(YEAR(B286)+1,1,1)-DATE(YEAR(B286),1,1)),(DATE(YEAR(B286)+1,1,1)-B286)/(DATE(YEAR(B286)+1,1,1)-DATE(YEAR(B286),1,1))+(B287-DATE(YEAR(B287),1,1))/(DATE(YEAR(B287)+1,1,1)-DATE(YEAR(B287),1,1))+YEAR(B287)-YEAR(B286)-1)</f>
        <v/>
      </c>
      <c r="F287" s="8">
        <f>K286</f>
        <v/>
      </c>
      <c r="G287" s="7">
        <f>$B$10</f>
        <v/>
      </c>
      <c r="H287" s="8">
        <f>F287*G287*E287</f>
        <v/>
      </c>
      <c r="I287" s="8">
        <f>SUM(H287:H287)</f>
        <v/>
      </c>
      <c r="J287" s="8">
        <f>$B$7/$B$13</f>
        <v/>
      </c>
      <c r="K287" s="8">
        <f>F287-J287</f>
        <v/>
      </c>
    </row>
    <row r="288">
      <c r="A288" t="n">
        <v>292</v>
      </c>
      <c r="B288" s="10">
        <f>MIN(DATE(YEAR($E$3),MONTH($E$3)+A288*$E$4,MIN($E$5,DAY(EOMONTH(DATE(YEAR($E$3),MONTH($E$3)+A288*$E$4,1),0)))),$B$6)</f>
        <v/>
      </c>
      <c r="C288" t="inlineStr">
        <is>
          <t>проценты, тело</t>
        </is>
      </c>
      <c r="D288">
        <f>B288-B287</f>
        <v/>
      </c>
      <c r="E288" s="11">
        <f>IF(YEAR(B287)=YEAR(B288),(B288-B287)/(DATE(YEAR(B287)+1,1,1)-DATE(YEAR(B287),1,1)),(DATE(YEAR(B287)+1,1,1)-B287)/(DATE(YEAR(B287)+1,1,1)-DATE(YEAR(B287),1,1))+(B288-DATE(YEAR(B288),1,1))/(DATE(YEAR(B288)+1,1,1)-DATE(YEAR(B288),1,1))+YEAR(B288)-YEAR(B287)-1)</f>
        <v/>
      </c>
      <c r="F288" s="8">
        <f>K287</f>
        <v/>
      </c>
      <c r="G288" s="7">
        <f>$B$10</f>
        <v/>
      </c>
      <c r="H288" s="8">
        <f>F288*G288*E288</f>
        <v/>
      </c>
      <c r="I288" s="8">
        <f>SUM(H288:H288)</f>
        <v/>
      </c>
      <c r="J288" s="8">
        <f>$B$7/$B$13</f>
        <v/>
      </c>
      <c r="K288" s="8">
        <f>F288-J288</f>
        <v/>
      </c>
    </row>
    <row r="289">
      <c r="A289" t="n">
        <v>293</v>
      </c>
      <c r="B289" s="10">
        <f>MIN(DATE(YEAR($E$3),MONTH($E$3)+A289*$E$4,MIN($E$5,DAY(EOMONTH(DATE(YEAR($E$3),MONTH($E$3)+A289*$E$4,1),0)))),$B$6)</f>
        <v/>
      </c>
      <c r="C289" t="inlineStr">
        <is>
          <t>проценты, тело</t>
        </is>
      </c>
      <c r="D289">
        <f>B289-B288</f>
        <v/>
      </c>
      <c r="E289" s="11">
        <f>IF(YEAR(B288)=YEAR(B289),(B289-B288)/(DATE(YEAR(B288)+1,1,1)-DATE(YEAR(B288),1,1)),(DATE(YEAR(B288)+1,1,1)-B288)/(DATE(YEAR(B288)+1,1,1)-DATE(YEAR(B288),1,1))+(B289-DATE(YEAR(B289),1,1))/(DATE(YEAR(B289)+1,1,1)-DATE(YEAR(B289),1,1))+YEAR(B289)-YEAR(B288)-1)</f>
        <v/>
      </c>
      <c r="F289" s="8">
        <f>K288</f>
        <v/>
      </c>
      <c r="G289" s="7">
        <f>$B$10</f>
        <v/>
      </c>
      <c r="H289" s="8">
        <f>F289*G289*E289</f>
        <v/>
      </c>
      <c r="I289" s="8">
        <f>SUM(H289:H289)</f>
        <v/>
      </c>
      <c r="J289" s="8">
        <f>$B$7/$B$13</f>
        <v/>
      </c>
      <c r="K289" s="8">
        <f>F289-J289</f>
        <v/>
      </c>
    </row>
    <row r="290">
      <c r="A290" t="n">
        <v>294</v>
      </c>
      <c r="B290" s="10">
        <f>MIN(DATE(YEAR($E$3),MONTH($E$3)+A290*$E$4,MIN($E$5,DAY(EOMONTH(DATE(YEAR($E$3),MONTH($E$3)+A290*$E$4,1),0)))),$B$6)</f>
        <v/>
      </c>
      <c r="C290" t="inlineStr">
        <is>
          <t>проценты, тело</t>
        </is>
      </c>
      <c r="D290">
        <f>B290-B289</f>
        <v/>
      </c>
      <c r="E290" s="11">
        <f>IF(YEAR(B289)=YEAR(B290),(B290-B289)/(DATE(YEAR(B289)+1,1,1)-DATE(YEAR(B289),1,1)),(DATE(YEAR(B289)+1,1,1)-B289)/(DATE(YEAR(B289)+1,1,1)-DATE(YEAR(B289),1,1))+(B290-DATE(YEAR(B290),1,1))/(DATE(YEAR(B290)+1,1,1)-DATE(YEAR(B290),1,1))+YEAR(B290)-YEAR(B289)-1)</f>
        <v/>
      </c>
      <c r="F290" s="8">
        <f>K289</f>
        <v/>
      </c>
      <c r="G290" s="7">
        <f>$B$10</f>
        <v/>
      </c>
      <c r="H290" s="8">
        <f>F290*G290*E290</f>
        <v/>
      </c>
      <c r="I290" s="8">
        <f>SUM(H290:H290)</f>
        <v/>
      </c>
      <c r="J290" s="8">
        <f>$B$7/$B$13</f>
        <v/>
      </c>
      <c r="K290" s="8">
        <f>F290-J290</f>
        <v/>
      </c>
    </row>
    <row r="291">
      <c r="A291" t="n">
        <v>295</v>
      </c>
      <c r="B291" s="10">
        <f>MIN(DATE(YEAR($E$3),MONTH($E$3)+A291*$E$4,MIN($E$5,DAY(EOMONTH(DATE(YEAR($E$3),MONTH($E$3)+A291*$E$4,1),0)))),$B$6)</f>
        <v/>
      </c>
      <c r="C291" t="inlineStr">
        <is>
          <t>проценты, тело</t>
        </is>
      </c>
      <c r="D291">
        <f>B291-B290</f>
        <v/>
      </c>
      <c r="E291" s="11">
        <f>IF(YEAR(B290)=YEAR(B291),(B291-B290)/(DATE(YEAR(B290)+1,1,1)-DATE(YEAR(B290),1,1)),(DATE(YEAR(B290)+1,1,1)-B290)/(DATE(YEAR(B290)+1,1,1)-DATE(YEAR(B290),1,1))+(B291-DATE(YEAR(B291),1,1))/(DATE(YEAR(B291)+1,1,1)-DATE(YEAR(B291),1,1))+YEAR(B291)-YEAR(B290)-1)</f>
        <v/>
      </c>
      <c r="F291" s="8">
        <f>K290</f>
        <v/>
      </c>
      <c r="G291" s="7">
        <f>$B$10</f>
        <v/>
      </c>
      <c r="H291" s="8">
        <f>F291*G291*E291</f>
        <v/>
      </c>
      <c r="I291" s="8">
        <f>SUM(H291:H291)</f>
        <v/>
      </c>
      <c r="J291" s="8">
        <f>$B$7/$B$13</f>
        <v/>
      </c>
      <c r="K291" s="8">
        <f>F291-J291</f>
        <v/>
      </c>
    </row>
    <row r="292">
      <c r="A292" t="n">
        <v>296</v>
      </c>
      <c r="B292" s="10">
        <f>MIN(DATE(YEAR($E$3),MONTH($E$3)+A292*$E$4,MIN($E$5,DAY(EOMONTH(DATE(YEAR($E$3),MONTH($E$3)+A292*$E$4,1),0)))),$B$6)</f>
        <v/>
      </c>
      <c r="C292" t="inlineStr">
        <is>
          <t>проценты, тело</t>
        </is>
      </c>
      <c r="D292">
        <f>B292-B291</f>
        <v/>
      </c>
      <c r="E292" s="11">
        <f>IF(YEAR(B291)=YEAR(B292),(B292-B291)/(DATE(YEAR(B291)+1,1,1)-DATE(YEAR(B291),1,1)),(DATE(YEAR(B291)+1,1,1)-B291)/(DATE(YEAR(B291)+1,1,1)-DATE(YEAR(B291),1,1))+(B292-DATE(YEAR(B292),1,1))/(DATE(YEAR(B292)+1,1,1)-DATE(YEAR(B292),1,1))+YEAR(B292)-YEAR(B291)-1)</f>
        <v/>
      </c>
      <c r="F292" s="8">
        <f>K291</f>
        <v/>
      </c>
      <c r="G292" s="7">
        <f>$B$10</f>
        <v/>
      </c>
      <c r="H292" s="8">
        <f>F292*G292*E292</f>
        <v/>
      </c>
      <c r="I292" s="8">
        <f>SUM(H292:H292)</f>
        <v/>
      </c>
      <c r="J292" s="8">
        <f>$B$7/$B$13</f>
        <v/>
      </c>
      <c r="K292" s="8">
        <f>F292-J292</f>
        <v/>
      </c>
    </row>
    <row r="293">
      <c r="A293" t="n">
        <v>297</v>
      </c>
      <c r="B293" s="10">
        <f>MIN(DATE(YEAR($E$3),MONTH($E$3)+A293*$E$4,MIN($E$5,DAY(EOMONTH(DATE(YEAR($E$3),MONTH($E$3)+A293*$E$4,1),0)))),$B$6)</f>
        <v/>
      </c>
      <c r="C293" t="inlineStr">
        <is>
          <t>проценты, тело</t>
        </is>
      </c>
      <c r="D293">
        <f>B293-B292</f>
        <v/>
      </c>
      <c r="E293" s="11">
        <f>IF(YEAR(B292)=YEAR(B293),(B293-B292)/(DATE(YEAR(B292)+1,1,1)-DATE(YEAR(B292),1,1)),(DATE(YEAR(B292)+1,1,1)-B292)/(DATE(YEAR(B292)+1,1,1)-DATE(YEAR(B292),1,1))+(B293-DATE(YEAR(B293),1,1))/(DATE(YEAR(B293)+1,1,1)-DATE(YEAR(B293),1,1))+YEAR(B293)-YEAR(B292)-1)</f>
        <v/>
      </c>
      <c r="F293" s="8">
        <f>K292</f>
        <v/>
      </c>
      <c r="G293" s="7">
        <f>$B$10</f>
        <v/>
      </c>
      <c r="H293" s="8">
        <f>F293*G293*E293</f>
        <v/>
      </c>
      <c r="I293" s="8">
        <f>SUM(H293:H293)</f>
        <v/>
      </c>
      <c r="J293" s="8">
        <f>$B$7/$B$13</f>
        <v/>
      </c>
      <c r="K293" s="8">
        <f>F293-J293</f>
        <v/>
      </c>
    </row>
    <row r="294">
      <c r="A294" t="n">
        <v>298</v>
      </c>
      <c r="B294" s="10">
        <f>MIN(DATE(YEAR($E$3),MONTH($E$3)+A294*$E$4,MIN($E$5,DAY(EOMONTH(DATE(YEAR($E$3),MONTH($E$3)+A294*$E$4,1),0)))),$B$6)</f>
        <v/>
      </c>
      <c r="C294" t="inlineStr">
        <is>
          <t>проценты, тело</t>
        </is>
      </c>
      <c r="D294">
        <f>B294-B293</f>
        <v/>
      </c>
      <c r="E294" s="11">
        <f>IF(YEAR(B293)=YEAR(B294),(B294-B293)/(DATE(YEAR(B293)+1,1,1)-DATE(YEAR(B293),1,1)),(DATE(YEAR(B293)+1,1,1)-B293)/(DATE(YEAR(B293)+1,1,1)-DATE(YEAR(B293),1,1))+(B294-DATE(YEAR(B294),1,1))/(DATE(YEAR(B294)+1,1,1)-DATE(YEAR(B294),1,1))+YEAR(B294)-YEAR(B293)-1)</f>
        <v/>
      </c>
      <c r="F294" s="8">
        <f>K293</f>
        <v/>
      </c>
      <c r="G294" s="7">
        <f>$B$10</f>
        <v/>
      </c>
      <c r="H294" s="8">
        <f>F294*G294*E294</f>
        <v/>
      </c>
      <c r="I294" s="8">
        <f>SUM(H294:H294)</f>
        <v/>
      </c>
      <c r="J294" s="8">
        <f>$B$7/$B$13</f>
        <v/>
      </c>
      <c r="K294" s="8">
        <f>F294-J294</f>
        <v/>
      </c>
    </row>
    <row r="295">
      <c r="A295" t="n">
        <v>299</v>
      </c>
      <c r="B295" s="10">
        <f>MIN(DATE(YEAR($E$3),MONTH($E$3)+A295*$E$4,MIN($E$5,DAY(EOMONTH(DATE(YEAR($E$3),MONTH($E$3)+A295*$E$4,1),0)))),$B$6)</f>
        <v/>
      </c>
      <c r="C295" t="inlineStr">
        <is>
          <t>проценты, тело</t>
        </is>
      </c>
      <c r="D295">
        <f>B295-B294</f>
        <v/>
      </c>
      <c r="E295" s="11">
        <f>IF(YEAR(B294)=YEAR(B295),(B295-B294)/(DATE(YEAR(B294)+1,1,1)-DATE(YEAR(B294),1,1)),(DATE(YEAR(B294)+1,1,1)-B294)/(DATE(YEAR(B294)+1,1,1)-DATE(YEAR(B294),1,1))+(B295-DATE(YEAR(B295),1,1))/(DATE(YEAR(B295)+1,1,1)-DATE(YEAR(B295),1,1))+YEAR(B295)-YEAR(B294)-1)</f>
        <v/>
      </c>
      <c r="F295" s="8">
        <f>K294</f>
        <v/>
      </c>
      <c r="G295" s="7">
        <f>$B$10</f>
        <v/>
      </c>
      <c r="H295" s="8">
        <f>F295*G295*E295</f>
        <v/>
      </c>
      <c r="I295" s="8">
        <f>SUM(H295:H295)</f>
        <v/>
      </c>
      <c r="J295" s="8">
        <f>$B$7/$B$13</f>
        <v/>
      </c>
      <c r="K295" s="8">
        <f>F295-J295</f>
        <v/>
      </c>
    </row>
    <row r="296">
      <c r="A296" t="n">
        <v>300</v>
      </c>
      <c r="B296" s="10">
        <f>MIN(DATE(YEAR($E$3),MONTH($E$3)+A296*$E$4,MIN($E$5,DAY(EOMONTH(DATE(YEAR($E$3),MONTH($E$3)+A296*$E$4,1),0)))),$B$6)</f>
        <v/>
      </c>
      <c r="C296" t="inlineStr">
        <is>
          <t>проценты, тело</t>
        </is>
      </c>
      <c r="D296">
        <f>B296-B295</f>
        <v/>
      </c>
      <c r="E296" s="11">
        <f>IF(YEAR(B295)=YEAR(B296),(B296-B295)/(DATE(YEAR(B295)+1,1,1)-DATE(YEAR(B295),1,1)),(DATE(YEAR(B295)+1,1,1)-B295)/(DATE(YEAR(B295)+1,1,1)-DATE(YEAR(B295),1,1))+(B296-DATE(YEAR(B296),1,1))/(DATE(YEAR(B296)+1,1,1)-DATE(YEAR(B296),1,1))+YEAR(B296)-YEAR(B295)-1)</f>
        <v/>
      </c>
      <c r="F296" s="8">
        <f>K295</f>
        <v/>
      </c>
      <c r="G296" s="7">
        <f>$B$10</f>
        <v/>
      </c>
      <c r="H296" s="8">
        <f>F296*G296*E296</f>
        <v/>
      </c>
      <c r="I296" s="8">
        <f>SUM(H296:H296)</f>
        <v/>
      </c>
      <c r="J296" s="8">
        <f>$B$7/$B$13</f>
        <v/>
      </c>
      <c r="K296" s="8">
        <f>F296-J296</f>
        <v/>
      </c>
    </row>
    <row r="297">
      <c r="A297" t="n">
        <v>301</v>
      </c>
      <c r="B297" s="10">
        <f>MIN(DATE(YEAR($E$3),MONTH($E$3)+A297*$E$4,MIN($E$5,DAY(EOMONTH(DATE(YEAR($E$3),MONTH($E$3)+A297*$E$4,1),0)))),$B$6)</f>
        <v/>
      </c>
      <c r="C297" t="inlineStr">
        <is>
          <t>проценты, тело</t>
        </is>
      </c>
      <c r="D297">
        <f>B297-B296</f>
        <v/>
      </c>
      <c r="E297" s="11">
        <f>IF(YEAR(B296)=YEAR(B297),(B297-B296)/(DATE(YEAR(B296)+1,1,1)-DATE(YEAR(B296),1,1)),(DATE(YEAR(B296)+1,1,1)-B296)/(DATE(YEAR(B296)+1,1,1)-DATE(YEAR(B296),1,1))+(B297-DATE(YEAR(B297),1,1))/(DATE(YEAR(B297)+1,1,1)-DATE(YEAR(B297),1,1))+YEAR(B297)-YEAR(B296)-1)</f>
        <v/>
      </c>
      <c r="F297" s="8">
        <f>K296</f>
        <v/>
      </c>
      <c r="G297" s="7">
        <f>$B$10</f>
        <v/>
      </c>
      <c r="H297" s="8">
        <f>F297*G297*E297</f>
        <v/>
      </c>
      <c r="I297" s="8">
        <f>SUM(H297:H297)</f>
        <v/>
      </c>
      <c r="J297" s="8">
        <f>$B$7/$B$13</f>
        <v/>
      </c>
      <c r="K297" s="8">
        <f>F297-J297</f>
        <v/>
      </c>
    </row>
    <row r="298">
      <c r="A298" t="n">
        <v>302</v>
      </c>
      <c r="B298" s="10">
        <f>MIN(DATE(YEAR($E$3),MONTH($E$3)+A298*$E$4,MIN($E$5,DAY(EOMONTH(DATE(YEAR($E$3),MONTH($E$3)+A298*$E$4,1),0)))),$B$6)</f>
        <v/>
      </c>
      <c r="C298" t="inlineStr">
        <is>
          <t>проценты, тело</t>
        </is>
      </c>
      <c r="D298">
        <f>B298-B297</f>
        <v/>
      </c>
      <c r="E298" s="11">
        <f>IF(YEAR(B297)=YEAR(B298),(B298-B297)/(DATE(YEAR(B297)+1,1,1)-DATE(YEAR(B297),1,1)),(DATE(YEAR(B297)+1,1,1)-B297)/(DATE(YEAR(B297)+1,1,1)-DATE(YEAR(B297),1,1))+(B298-DATE(YEAR(B298),1,1))/(DATE(YEAR(B298)+1,1,1)-DATE(YEAR(B298),1,1))+YEAR(B298)-YEAR(B297)-1)</f>
        <v/>
      </c>
      <c r="F298" s="8">
        <f>K297</f>
        <v/>
      </c>
      <c r="G298" s="7">
        <f>$B$10</f>
        <v/>
      </c>
      <c r="H298" s="8">
        <f>F298*G298*E298</f>
        <v/>
      </c>
      <c r="I298" s="8">
        <f>SUM(H298:H298)</f>
        <v/>
      </c>
      <c r="J298" s="8">
        <f>$B$7/$B$13</f>
        <v/>
      </c>
      <c r="K298" s="8">
        <f>F298-J298</f>
        <v/>
      </c>
    </row>
    <row r="299">
      <c r="A299" t="n">
        <v>303</v>
      </c>
      <c r="B299" s="10">
        <f>MIN(DATE(YEAR($E$3),MONTH($E$3)+A299*$E$4,MIN($E$5,DAY(EOMONTH(DATE(YEAR($E$3),MONTH($E$3)+A299*$E$4,1),0)))),$B$6)</f>
        <v/>
      </c>
      <c r="C299" t="inlineStr">
        <is>
          <t>проценты, тело</t>
        </is>
      </c>
      <c r="D299">
        <f>B299-B298</f>
        <v/>
      </c>
      <c r="E299" s="11">
        <f>IF(YEAR(B298)=YEAR(B299),(B299-B298)/(DATE(YEAR(B298)+1,1,1)-DATE(YEAR(B298),1,1)),(DATE(YEAR(B298)+1,1,1)-B298)/(DATE(YEAR(B298)+1,1,1)-DATE(YEAR(B298),1,1))+(B299-DATE(YEAR(B299),1,1))/(DATE(YEAR(B299)+1,1,1)-DATE(YEAR(B299),1,1))+YEAR(B299)-YEAR(B298)-1)</f>
        <v/>
      </c>
      <c r="F299" s="8">
        <f>K298</f>
        <v/>
      </c>
      <c r="G299" s="7">
        <f>$B$10</f>
        <v/>
      </c>
      <c r="H299" s="8">
        <f>F299*G299*E299</f>
        <v/>
      </c>
      <c r="I299" s="8">
        <f>SUM(H299:H299)</f>
        <v/>
      </c>
      <c r="J299" s="8">
        <f>$B$7/$B$13</f>
        <v/>
      </c>
      <c r="K299" s="8">
        <f>F299-J299</f>
        <v/>
      </c>
    </row>
    <row r="300">
      <c r="A300" t="n">
        <v>304</v>
      </c>
      <c r="B300" s="10">
        <f>MIN(DATE(YEAR($E$3),MONTH($E$3)+A300*$E$4,MIN($E$5,DAY(EOMONTH(DATE(YEAR($E$3),MONTH($E$3)+A300*$E$4,1),0)))),$B$6)</f>
        <v/>
      </c>
      <c r="C300" t="inlineStr">
        <is>
          <t>проценты, тело</t>
        </is>
      </c>
      <c r="D300">
        <f>B300-B299</f>
        <v/>
      </c>
      <c r="E300" s="11">
        <f>IF(YEAR(B299)=YEAR(B300),(B300-B299)/(DATE(YEAR(B299)+1,1,1)-DATE(YEAR(B299),1,1)),(DATE(YEAR(B299)+1,1,1)-B299)/(DATE(YEAR(B299)+1,1,1)-DATE(YEAR(B299),1,1))+(B300-DATE(YEAR(B300),1,1))/(DATE(YEAR(B300)+1,1,1)-DATE(YEAR(B300),1,1))+YEAR(B300)-YEAR(B299)-1)</f>
        <v/>
      </c>
      <c r="F300" s="8">
        <f>K299</f>
        <v/>
      </c>
      <c r="G300" s="7">
        <f>$B$10</f>
        <v/>
      </c>
      <c r="H300" s="8">
        <f>F300*G300*E300</f>
        <v/>
      </c>
      <c r="I300" s="8">
        <f>SUM(H300:H300)</f>
        <v/>
      </c>
      <c r="J300" s="8">
        <f>$B$7/$B$13</f>
        <v/>
      </c>
      <c r="K300" s="8">
        <f>F300-J300</f>
        <v/>
      </c>
    </row>
    <row r="301">
      <c r="A301" t="n">
        <v>305</v>
      </c>
      <c r="B301" s="10">
        <f>MIN(DATE(YEAR($E$3),MONTH($E$3)+A301*$E$4,MIN($E$5,DAY(EOMONTH(DATE(YEAR($E$3),MONTH($E$3)+A301*$E$4,1),0)))),$B$6)</f>
        <v/>
      </c>
      <c r="C301" t="inlineStr">
        <is>
          <t>проценты, тело</t>
        </is>
      </c>
      <c r="D301">
        <f>B301-B300</f>
        <v/>
      </c>
      <c r="E301" s="11">
        <f>IF(YEAR(B300)=YEAR(B301),(B301-B300)/(DATE(YEAR(B300)+1,1,1)-DATE(YEAR(B300),1,1)),(DATE(YEAR(B300)+1,1,1)-B300)/(DATE(YEAR(B300)+1,1,1)-DATE(YEAR(B300),1,1))+(B301-DATE(YEAR(B301),1,1))/(DATE(YEAR(B301)+1,1,1)-DATE(YEAR(B301),1,1))+YEAR(B301)-YEAR(B300)-1)</f>
        <v/>
      </c>
      <c r="F301" s="8">
        <f>K300</f>
        <v/>
      </c>
      <c r="G301" s="7">
        <f>$B$10</f>
        <v/>
      </c>
      <c r="H301" s="8">
        <f>F301*G301*E301</f>
        <v/>
      </c>
      <c r="I301" s="8">
        <f>SUM(H301:H301)</f>
        <v/>
      </c>
      <c r="J301" s="8">
        <f>$B$7/$B$13</f>
        <v/>
      </c>
      <c r="K301" s="8">
        <f>F301-J301</f>
        <v/>
      </c>
    </row>
    <row r="302">
      <c r="A302" t="n">
        <v>306</v>
      </c>
      <c r="B302" s="10">
        <f>MIN(DATE(YEAR($E$3),MONTH($E$3)+A302*$E$4,MIN($E$5,DAY(EOMONTH(DATE(YEAR($E$3),MONTH($E$3)+A302*$E$4,1),0)))),$B$6)</f>
        <v/>
      </c>
      <c r="C302" t="inlineStr">
        <is>
          <t>проценты, тело</t>
        </is>
      </c>
      <c r="D302">
        <f>B302-B301</f>
        <v/>
      </c>
      <c r="E302" s="11">
        <f>IF(YEAR(B301)=YEAR(B302),(B302-B301)/(DATE(YEAR(B301)+1,1,1)-DATE(YEAR(B301),1,1)),(DATE(YEAR(B301)+1,1,1)-B301)/(DATE(YEAR(B301)+1,1,1)-DATE(YEAR(B301),1,1))+(B302-DATE(YEAR(B302),1,1))/(DATE(YEAR(B302)+1,1,1)-DATE(YEAR(B302),1,1))+YEAR(B302)-YEAR(B301)-1)</f>
        <v/>
      </c>
      <c r="F302" s="8">
        <f>K301</f>
        <v/>
      </c>
      <c r="G302" s="7">
        <f>$B$10</f>
        <v/>
      </c>
      <c r="H302" s="8">
        <f>F302*G302*E302</f>
        <v/>
      </c>
      <c r="I302" s="8">
        <f>SUM(H302:H302)</f>
        <v/>
      </c>
      <c r="J302" s="8">
        <f>$B$7/$B$13</f>
        <v/>
      </c>
      <c r="K302" s="8">
        <f>F302-J302</f>
        <v/>
      </c>
    </row>
    <row r="303">
      <c r="A303" t="n">
        <v>307</v>
      </c>
      <c r="B303" s="10">
        <f>MIN(DATE(YEAR($E$3),MONTH($E$3)+A303*$E$4,MIN($E$5,DAY(EOMONTH(DATE(YEAR($E$3),MONTH($E$3)+A303*$E$4,1),0)))),$B$6)</f>
        <v/>
      </c>
      <c r="C303" t="inlineStr">
        <is>
          <t>проценты, тело</t>
        </is>
      </c>
      <c r="D303">
        <f>B303-B302</f>
        <v/>
      </c>
      <c r="E303" s="11">
        <f>IF(YEAR(B302)=YEAR(B303),(B303-B302)/(DATE(YEAR(B302)+1,1,1)-DATE(YEAR(B302),1,1)),(DATE(YEAR(B302)+1,1,1)-B302)/(DATE(YEAR(B302)+1,1,1)-DATE(YEAR(B302),1,1))+(B303-DATE(YEAR(B303),1,1))/(DATE(YEAR(B303)+1,1,1)-DATE(YEAR(B303),1,1))+YEAR(B303)-YEAR(B302)-1)</f>
        <v/>
      </c>
      <c r="F303" s="8">
        <f>K302</f>
        <v/>
      </c>
      <c r="G303" s="7">
        <f>$B$10</f>
        <v/>
      </c>
      <c r="H303" s="8">
        <f>F303*G303*E303</f>
        <v/>
      </c>
      <c r="I303" s="8">
        <f>SUM(H303:H303)</f>
        <v/>
      </c>
      <c r="J303" s="8">
        <f>$B$7/$B$13</f>
        <v/>
      </c>
      <c r="K303" s="8">
        <f>F303-J303</f>
        <v/>
      </c>
    </row>
    <row r="304">
      <c r="A304" t="n">
        <v>308</v>
      </c>
      <c r="B304" s="10">
        <f>MIN(DATE(YEAR($E$3),MONTH($E$3)+A304*$E$4,MIN($E$5,DAY(EOMONTH(DATE(YEAR($E$3),MONTH($E$3)+A304*$E$4,1),0)))),$B$6)</f>
        <v/>
      </c>
      <c r="C304" t="inlineStr">
        <is>
          <t>проценты, тело</t>
        </is>
      </c>
      <c r="D304">
        <f>B304-B303</f>
        <v/>
      </c>
      <c r="E304" s="11">
        <f>IF(YEAR(B303)=YEAR(B304),(B304-B303)/(DATE(YEAR(B303)+1,1,1)-DATE(YEAR(B303),1,1)),(DATE(YEAR(B303)+1,1,1)-B303)/(DATE(YEAR(B303)+1,1,1)-DATE(YEAR(B303),1,1))+(B304-DATE(YEAR(B304),1,1))/(DATE(YEAR(B304)+1,1,1)-DATE(YEAR(B304),1,1))+YEAR(B304)-YEAR(B303)-1)</f>
        <v/>
      </c>
      <c r="F304" s="8">
        <f>K303</f>
        <v/>
      </c>
      <c r="G304" s="7">
        <f>$B$10</f>
        <v/>
      </c>
      <c r="H304" s="8">
        <f>F304*G304*E304</f>
        <v/>
      </c>
      <c r="I304" s="8">
        <f>SUM(H304:H304)</f>
        <v/>
      </c>
      <c r="J304" s="8">
        <f>$B$7/$B$13</f>
        <v/>
      </c>
      <c r="K304" s="8">
        <f>F304-J304</f>
        <v/>
      </c>
    </row>
    <row r="305">
      <c r="A305" t="n">
        <v>309</v>
      </c>
      <c r="B305" s="10">
        <f>MIN(DATE(YEAR($E$3),MONTH($E$3)+A305*$E$4,MIN($E$5,DAY(EOMONTH(DATE(YEAR($E$3),MONTH($E$3)+A305*$E$4,1),0)))),$B$6)</f>
        <v/>
      </c>
      <c r="C305" t="inlineStr">
        <is>
          <t>проценты, тело</t>
        </is>
      </c>
      <c r="D305">
        <f>B305-B304</f>
        <v/>
      </c>
      <c r="E305" s="11">
        <f>IF(YEAR(B304)=YEAR(B305),(B305-B304)/(DATE(YEAR(B304)+1,1,1)-DATE(YEAR(B304),1,1)),(DATE(YEAR(B304)+1,1,1)-B304)/(DATE(YEAR(B304)+1,1,1)-DATE(YEAR(B304),1,1))+(B305-DATE(YEAR(B305),1,1))/(DATE(YEAR(B305)+1,1,1)-DATE(YEAR(B305),1,1))+YEAR(B305)-YEAR(B304)-1)</f>
        <v/>
      </c>
      <c r="F305" s="8">
        <f>K304</f>
        <v/>
      </c>
      <c r="G305" s="7">
        <f>$B$10</f>
        <v/>
      </c>
      <c r="H305" s="8">
        <f>F305*G305*E305</f>
        <v/>
      </c>
      <c r="I305" s="8">
        <f>SUM(H305:H305)</f>
        <v/>
      </c>
      <c r="J305" s="8">
        <f>$B$7/$B$13</f>
        <v/>
      </c>
      <c r="K305" s="8">
        <f>F305-J305</f>
        <v/>
      </c>
    </row>
    <row r="306">
      <c r="A306" t="n">
        <v>310</v>
      </c>
      <c r="B306" s="10">
        <f>MIN(DATE(YEAR($E$3),MONTH($E$3)+A306*$E$4,MIN($E$5,DAY(EOMONTH(DATE(YEAR($E$3),MONTH($E$3)+A306*$E$4,1),0)))),$B$6)</f>
        <v/>
      </c>
      <c r="C306" t="inlineStr">
        <is>
          <t>проценты, тело</t>
        </is>
      </c>
      <c r="D306">
        <f>B306-B305</f>
        <v/>
      </c>
      <c r="E306" s="11">
        <f>IF(YEAR(B305)=YEAR(B306),(B306-B305)/(DATE(YEAR(B305)+1,1,1)-DATE(YEAR(B305),1,1)),(DATE(YEAR(B305)+1,1,1)-B305)/(DATE(YEAR(B305)+1,1,1)-DATE(YEAR(B305),1,1))+(B306-DATE(YEAR(B306),1,1))/(DATE(YEAR(B306)+1,1,1)-DATE(YEAR(B306),1,1))+YEAR(B306)-YEAR(B305)-1)</f>
        <v/>
      </c>
      <c r="F306" s="8">
        <f>K305</f>
        <v/>
      </c>
      <c r="G306" s="7">
        <f>$B$10</f>
        <v/>
      </c>
      <c r="H306" s="8">
        <f>F306*G306*E306</f>
        <v/>
      </c>
      <c r="I306" s="8">
        <f>SUM(H306:H306)</f>
        <v/>
      </c>
      <c r="J306" s="8">
        <f>$B$7/$B$13</f>
        <v/>
      </c>
      <c r="K306" s="8">
        <f>F306-J306</f>
        <v/>
      </c>
    </row>
    <row r="307">
      <c r="A307" t="n">
        <v>311</v>
      </c>
      <c r="B307" s="10">
        <f>MIN(DATE(YEAR($E$3),MONTH($E$3)+A307*$E$4,MIN($E$5,DAY(EOMONTH(DATE(YEAR($E$3),MONTH($E$3)+A307*$E$4,1),0)))),$B$6)</f>
        <v/>
      </c>
      <c r="C307" t="inlineStr">
        <is>
          <t>проценты, тело</t>
        </is>
      </c>
      <c r="D307">
        <f>B307-B306</f>
        <v/>
      </c>
      <c r="E307" s="11">
        <f>IF(YEAR(B306)=YEAR(B307),(B307-B306)/(DATE(YEAR(B306)+1,1,1)-DATE(YEAR(B306),1,1)),(DATE(YEAR(B306)+1,1,1)-B306)/(DATE(YEAR(B306)+1,1,1)-DATE(YEAR(B306),1,1))+(B307-DATE(YEAR(B307),1,1))/(DATE(YEAR(B307)+1,1,1)-DATE(YEAR(B307),1,1))+YEAR(B307)-YEAR(B306)-1)</f>
        <v/>
      </c>
      <c r="F307" s="8">
        <f>K306</f>
        <v/>
      </c>
      <c r="G307" s="7">
        <f>$B$10</f>
        <v/>
      </c>
      <c r="H307" s="8">
        <f>F307*G307*E307</f>
        <v/>
      </c>
      <c r="I307" s="8">
        <f>SUM(H307:H307)</f>
        <v/>
      </c>
      <c r="J307" s="8">
        <f>$B$7/$B$13</f>
        <v/>
      </c>
      <c r="K307" s="8">
        <f>F307-J307</f>
        <v/>
      </c>
    </row>
    <row r="308">
      <c r="A308" t="n">
        <v>312</v>
      </c>
      <c r="B308" s="10">
        <f>MIN(DATE(YEAR($E$3),MONTH($E$3)+A308*$E$4,MIN($E$5,DAY(EOMONTH(DATE(YEAR($E$3),MONTH($E$3)+A308*$E$4,1),0)))),$B$6)</f>
        <v/>
      </c>
      <c r="C308" t="inlineStr">
        <is>
          <t>проценты, тело</t>
        </is>
      </c>
      <c r="D308">
        <f>B308-B307</f>
        <v/>
      </c>
      <c r="E308" s="11">
        <f>IF(YEAR(B307)=YEAR(B308),(B308-B307)/(DATE(YEAR(B307)+1,1,1)-DATE(YEAR(B307),1,1)),(DATE(YEAR(B307)+1,1,1)-B307)/(DATE(YEAR(B307)+1,1,1)-DATE(YEAR(B307),1,1))+(B308-DATE(YEAR(B308),1,1))/(DATE(YEAR(B308)+1,1,1)-DATE(YEAR(B308),1,1))+YEAR(B308)-YEAR(B307)-1)</f>
        <v/>
      </c>
      <c r="F308" s="8">
        <f>K307</f>
        <v/>
      </c>
      <c r="G308" s="7">
        <f>$B$10</f>
        <v/>
      </c>
      <c r="H308" s="8">
        <f>F308*G308*E308</f>
        <v/>
      </c>
      <c r="I308" s="8">
        <f>SUM(H308:H308)</f>
        <v/>
      </c>
      <c r="J308" s="8">
        <f>$B$7/$B$13</f>
        <v/>
      </c>
      <c r="K308" s="8">
        <f>F308-J308</f>
        <v/>
      </c>
    </row>
    <row r="309">
      <c r="A309" t="n">
        <v>313</v>
      </c>
      <c r="B309" s="10">
        <f>MIN(DATE(YEAR($E$3),MONTH($E$3)+A309*$E$4,MIN($E$5,DAY(EOMONTH(DATE(YEAR($E$3),MONTH($E$3)+A309*$E$4,1),0)))),$B$6)</f>
        <v/>
      </c>
      <c r="C309" t="inlineStr">
        <is>
          <t>проценты, тело</t>
        </is>
      </c>
      <c r="D309">
        <f>B309-B308</f>
        <v/>
      </c>
      <c r="E309" s="11">
        <f>IF(YEAR(B308)=YEAR(B309),(B309-B308)/(DATE(YEAR(B308)+1,1,1)-DATE(YEAR(B308),1,1)),(DATE(YEAR(B308)+1,1,1)-B308)/(DATE(YEAR(B308)+1,1,1)-DATE(YEAR(B308),1,1))+(B309-DATE(YEAR(B309),1,1))/(DATE(YEAR(B309)+1,1,1)-DATE(YEAR(B309),1,1))+YEAR(B309)-YEAR(B308)-1)</f>
        <v/>
      </c>
      <c r="F309" s="8">
        <f>K308</f>
        <v/>
      </c>
      <c r="G309" s="7">
        <f>$B$10</f>
        <v/>
      </c>
      <c r="H309" s="8">
        <f>F309*G309*E309</f>
        <v/>
      </c>
      <c r="I309" s="8">
        <f>SUM(H309:H309)</f>
        <v/>
      </c>
      <c r="J309" s="8">
        <f>$B$7/$B$13</f>
        <v/>
      </c>
      <c r="K309" s="8">
        <f>F309-J309</f>
        <v/>
      </c>
    </row>
    <row r="310">
      <c r="A310" t="n">
        <v>314</v>
      </c>
      <c r="B310" s="10">
        <f>MIN(DATE(YEAR($E$3),MONTH($E$3)+A310*$E$4,MIN($E$5,DAY(EOMONTH(DATE(YEAR($E$3),MONTH($E$3)+A310*$E$4,1),0)))),$B$6)</f>
        <v/>
      </c>
      <c r="C310" t="inlineStr">
        <is>
          <t>проценты, тело</t>
        </is>
      </c>
      <c r="D310">
        <f>B310-B309</f>
        <v/>
      </c>
      <c r="E310" s="11">
        <f>IF(YEAR(B309)=YEAR(B310),(B310-B309)/(DATE(YEAR(B309)+1,1,1)-DATE(YEAR(B309),1,1)),(DATE(YEAR(B309)+1,1,1)-B309)/(DATE(YEAR(B309)+1,1,1)-DATE(YEAR(B309),1,1))+(B310-DATE(YEAR(B310),1,1))/(DATE(YEAR(B310)+1,1,1)-DATE(YEAR(B310),1,1))+YEAR(B310)-YEAR(B309)-1)</f>
        <v/>
      </c>
      <c r="F310" s="8">
        <f>K309</f>
        <v/>
      </c>
      <c r="G310" s="7">
        <f>$B$10</f>
        <v/>
      </c>
      <c r="H310" s="8">
        <f>F310*G310*E310</f>
        <v/>
      </c>
      <c r="I310" s="8">
        <f>SUM(H310:H310)</f>
        <v/>
      </c>
      <c r="J310" s="8">
        <f>$B$7/$B$13</f>
        <v/>
      </c>
      <c r="K310" s="8">
        <f>F310-J310</f>
        <v/>
      </c>
    </row>
    <row r="311">
      <c r="A311" t="n">
        <v>315</v>
      </c>
      <c r="B311" s="10">
        <f>MIN(DATE(YEAR($E$3),MONTH($E$3)+A311*$E$4,MIN($E$5,DAY(EOMONTH(DATE(YEAR($E$3),MONTH($E$3)+A311*$E$4,1),0)))),$B$6)</f>
        <v/>
      </c>
      <c r="C311" t="inlineStr">
        <is>
          <t>проценты, тело</t>
        </is>
      </c>
      <c r="D311">
        <f>B311-B310</f>
        <v/>
      </c>
      <c r="E311" s="11">
        <f>IF(YEAR(B310)=YEAR(B311),(B311-B310)/(DATE(YEAR(B310)+1,1,1)-DATE(YEAR(B310),1,1)),(DATE(YEAR(B310)+1,1,1)-B310)/(DATE(YEAR(B310)+1,1,1)-DATE(YEAR(B310),1,1))+(B311-DATE(YEAR(B311),1,1))/(DATE(YEAR(B311)+1,1,1)-DATE(YEAR(B311),1,1))+YEAR(B311)-YEAR(B310)-1)</f>
        <v/>
      </c>
      <c r="F311" s="8">
        <f>K310</f>
        <v/>
      </c>
      <c r="G311" s="7">
        <f>$B$10</f>
        <v/>
      </c>
      <c r="H311" s="8">
        <f>F311*G311*E311</f>
        <v/>
      </c>
      <c r="I311" s="8">
        <f>SUM(H311:H311)</f>
        <v/>
      </c>
      <c r="J311" s="8">
        <f>$B$7/$B$13</f>
        <v/>
      </c>
      <c r="K311" s="8">
        <f>F311-J311</f>
        <v/>
      </c>
    </row>
    <row r="312">
      <c r="A312" t="n">
        <v>316</v>
      </c>
      <c r="B312" s="10">
        <f>MIN(DATE(YEAR($E$3),MONTH($E$3)+A312*$E$4,MIN($E$5,DAY(EOMONTH(DATE(YEAR($E$3),MONTH($E$3)+A312*$E$4,1),0)))),$B$6)</f>
        <v/>
      </c>
      <c r="C312" t="inlineStr">
        <is>
          <t>проценты, тело</t>
        </is>
      </c>
      <c r="D312">
        <f>B312-B311</f>
        <v/>
      </c>
      <c r="E312" s="11">
        <f>IF(YEAR(B311)=YEAR(B312),(B312-B311)/(DATE(YEAR(B311)+1,1,1)-DATE(YEAR(B311),1,1)),(DATE(YEAR(B311)+1,1,1)-B311)/(DATE(YEAR(B311)+1,1,1)-DATE(YEAR(B311),1,1))+(B312-DATE(YEAR(B312),1,1))/(DATE(YEAR(B312)+1,1,1)-DATE(YEAR(B312),1,1))+YEAR(B312)-YEAR(B311)-1)</f>
        <v/>
      </c>
      <c r="F312" s="8">
        <f>K311</f>
        <v/>
      </c>
      <c r="G312" s="7">
        <f>$B$10</f>
        <v/>
      </c>
      <c r="H312" s="8">
        <f>F312*G312*E312</f>
        <v/>
      </c>
      <c r="I312" s="8">
        <f>SUM(H312:H312)</f>
        <v/>
      </c>
      <c r="J312" s="8">
        <f>$B$7/$B$13</f>
        <v/>
      </c>
      <c r="K312" s="8">
        <f>F312-J312</f>
        <v/>
      </c>
    </row>
    <row r="313">
      <c r="A313" t="n">
        <v>317</v>
      </c>
      <c r="B313" s="10">
        <f>MIN(DATE(YEAR($E$3),MONTH($E$3)+A313*$E$4,MIN($E$5,DAY(EOMONTH(DATE(YEAR($E$3),MONTH($E$3)+A313*$E$4,1),0)))),$B$6)</f>
        <v/>
      </c>
      <c r="C313" t="inlineStr">
        <is>
          <t>проценты, тело</t>
        </is>
      </c>
      <c r="D313">
        <f>B313-B312</f>
        <v/>
      </c>
      <c r="E313" s="11">
        <f>IF(YEAR(B312)=YEAR(B313),(B313-B312)/(DATE(YEAR(B312)+1,1,1)-DATE(YEAR(B312),1,1)),(DATE(YEAR(B312)+1,1,1)-B312)/(DATE(YEAR(B312)+1,1,1)-DATE(YEAR(B312),1,1))+(B313-DATE(YEAR(B313),1,1))/(DATE(YEAR(B313)+1,1,1)-DATE(YEAR(B313),1,1))+YEAR(B313)-YEAR(B312)-1)</f>
        <v/>
      </c>
      <c r="F313" s="8">
        <f>K312</f>
        <v/>
      </c>
      <c r="G313" s="7">
        <f>$B$10</f>
        <v/>
      </c>
      <c r="H313" s="8">
        <f>F313*G313*E313</f>
        <v/>
      </c>
      <c r="I313" s="8">
        <f>SUM(H313:H313)</f>
        <v/>
      </c>
      <c r="J313" s="8">
        <f>$B$7/$B$13</f>
        <v/>
      </c>
      <c r="K313" s="8">
        <f>F313-J313</f>
        <v/>
      </c>
    </row>
    <row r="314">
      <c r="A314" t="n">
        <v>318</v>
      </c>
      <c r="B314" s="10">
        <f>MIN(DATE(YEAR($E$3),MONTH($E$3)+A314*$E$4,MIN($E$5,DAY(EOMONTH(DATE(YEAR($E$3),MONTH($E$3)+A314*$E$4,1),0)))),$B$6)</f>
        <v/>
      </c>
      <c r="C314" t="inlineStr">
        <is>
          <t>проценты, тело</t>
        </is>
      </c>
      <c r="D314">
        <f>B314-B313</f>
        <v/>
      </c>
      <c r="E314" s="11">
        <f>IF(YEAR(B313)=YEAR(B314),(B314-B313)/(DATE(YEAR(B313)+1,1,1)-DATE(YEAR(B313),1,1)),(DATE(YEAR(B313)+1,1,1)-B313)/(DATE(YEAR(B313)+1,1,1)-DATE(YEAR(B313),1,1))+(B314-DATE(YEAR(B314),1,1))/(DATE(YEAR(B314)+1,1,1)-DATE(YEAR(B314),1,1))+YEAR(B314)-YEAR(B313)-1)</f>
        <v/>
      </c>
      <c r="F314" s="8">
        <f>K313</f>
        <v/>
      </c>
      <c r="G314" s="7">
        <f>$B$10</f>
        <v/>
      </c>
      <c r="H314" s="8">
        <f>F314*G314*E314</f>
        <v/>
      </c>
      <c r="I314" s="8">
        <f>SUM(H314:H314)</f>
        <v/>
      </c>
      <c r="J314" s="8">
        <f>$B$7/$B$13</f>
        <v/>
      </c>
      <c r="K314" s="8">
        <f>F314-J314</f>
        <v/>
      </c>
    </row>
    <row r="315">
      <c r="A315" t="n">
        <v>319</v>
      </c>
      <c r="B315" s="10">
        <f>MIN(DATE(YEAR($E$3),MONTH($E$3)+A315*$E$4,MIN($E$5,DAY(EOMONTH(DATE(YEAR($E$3),MONTH($E$3)+A315*$E$4,1),0)))),$B$6)</f>
        <v/>
      </c>
      <c r="C315" t="inlineStr">
        <is>
          <t>проценты, тело</t>
        </is>
      </c>
      <c r="D315">
        <f>B315-B314</f>
        <v/>
      </c>
      <c r="E315" s="11">
        <f>IF(YEAR(B314)=YEAR(B315),(B315-B314)/(DATE(YEAR(B314)+1,1,1)-DATE(YEAR(B314),1,1)),(DATE(YEAR(B314)+1,1,1)-B314)/(DATE(YEAR(B314)+1,1,1)-DATE(YEAR(B314),1,1))+(B315-DATE(YEAR(B315),1,1))/(DATE(YEAR(B315)+1,1,1)-DATE(YEAR(B315),1,1))+YEAR(B315)-YEAR(B314)-1)</f>
        <v/>
      </c>
      <c r="F315" s="8">
        <f>K314</f>
        <v/>
      </c>
      <c r="G315" s="7">
        <f>$B$10</f>
        <v/>
      </c>
      <c r="H315" s="8">
        <f>F315*G315*E315</f>
        <v/>
      </c>
      <c r="I315" s="8">
        <f>SUM(H315:H315)</f>
        <v/>
      </c>
      <c r="J315" s="8">
        <f>$B$7/$B$13</f>
        <v/>
      </c>
      <c r="K315" s="8">
        <f>F315-J315</f>
        <v/>
      </c>
    </row>
    <row r="316">
      <c r="A316" t="n">
        <v>320</v>
      </c>
      <c r="B316" s="10">
        <f>MIN(DATE(YEAR($E$3),MONTH($E$3)+A316*$E$4,MIN($E$5,DAY(EOMONTH(DATE(YEAR($E$3),MONTH($E$3)+A316*$E$4,1),0)))),$B$6)</f>
        <v/>
      </c>
      <c r="C316" t="inlineStr">
        <is>
          <t>проценты, тело</t>
        </is>
      </c>
      <c r="D316">
        <f>B316-B315</f>
        <v/>
      </c>
      <c r="E316" s="11">
        <f>IF(YEAR(B315)=YEAR(B316),(B316-B315)/(DATE(YEAR(B315)+1,1,1)-DATE(YEAR(B315),1,1)),(DATE(YEAR(B315)+1,1,1)-B315)/(DATE(YEAR(B315)+1,1,1)-DATE(YEAR(B315),1,1))+(B316-DATE(YEAR(B316),1,1))/(DATE(YEAR(B316)+1,1,1)-DATE(YEAR(B316),1,1))+YEAR(B316)-YEAR(B315)-1)</f>
        <v/>
      </c>
      <c r="F316" s="8">
        <f>K315</f>
        <v/>
      </c>
      <c r="G316" s="7">
        <f>$B$10</f>
        <v/>
      </c>
      <c r="H316" s="8">
        <f>F316*G316*E316</f>
        <v/>
      </c>
      <c r="I316" s="8">
        <f>SUM(H316:H316)</f>
        <v/>
      </c>
      <c r="J316" s="8">
        <f>$B$7/$B$13</f>
        <v/>
      </c>
      <c r="K316" s="8">
        <f>F316-J316</f>
        <v/>
      </c>
    </row>
    <row r="317">
      <c r="A317" t="n">
        <v>321</v>
      </c>
      <c r="B317" s="10">
        <f>MIN(DATE(YEAR($E$3),MONTH($E$3)+A317*$E$4,MIN($E$5,DAY(EOMONTH(DATE(YEAR($E$3),MONTH($E$3)+A317*$E$4,1),0)))),$B$6)</f>
        <v/>
      </c>
      <c r="C317" t="inlineStr">
        <is>
          <t>проценты, тело</t>
        </is>
      </c>
      <c r="D317">
        <f>B317-B316</f>
        <v/>
      </c>
      <c r="E317" s="11">
        <f>IF(YEAR(B316)=YEAR(B317),(B317-B316)/(DATE(YEAR(B316)+1,1,1)-DATE(YEAR(B316),1,1)),(DATE(YEAR(B316)+1,1,1)-B316)/(DATE(YEAR(B316)+1,1,1)-DATE(YEAR(B316),1,1))+(B317-DATE(YEAR(B317),1,1))/(DATE(YEAR(B317)+1,1,1)-DATE(YEAR(B317),1,1))+YEAR(B317)-YEAR(B316)-1)</f>
        <v/>
      </c>
      <c r="F317" s="8">
        <f>K316</f>
        <v/>
      </c>
      <c r="G317" s="7">
        <f>$B$10</f>
        <v/>
      </c>
      <c r="H317" s="8">
        <f>F317*G317*E317</f>
        <v/>
      </c>
      <c r="I317" s="8">
        <f>SUM(H317:H317)</f>
        <v/>
      </c>
      <c r="J317" s="8">
        <f>$B$7/$B$13</f>
        <v/>
      </c>
      <c r="K317" s="8">
        <f>F317-J317</f>
        <v/>
      </c>
    </row>
    <row r="318">
      <c r="A318" t="n">
        <v>322</v>
      </c>
      <c r="B318" s="10">
        <f>MIN(DATE(YEAR($E$3),MONTH($E$3)+A318*$E$4,MIN($E$5,DAY(EOMONTH(DATE(YEAR($E$3),MONTH($E$3)+A318*$E$4,1),0)))),$B$6)</f>
        <v/>
      </c>
      <c r="C318" t="inlineStr">
        <is>
          <t>проценты, тело</t>
        </is>
      </c>
      <c r="D318">
        <f>B318-B317</f>
        <v/>
      </c>
      <c r="E318" s="11">
        <f>IF(YEAR(B317)=YEAR(B318),(B318-B317)/(DATE(YEAR(B317)+1,1,1)-DATE(YEAR(B317),1,1)),(DATE(YEAR(B317)+1,1,1)-B317)/(DATE(YEAR(B317)+1,1,1)-DATE(YEAR(B317),1,1))+(B318-DATE(YEAR(B318),1,1))/(DATE(YEAR(B318)+1,1,1)-DATE(YEAR(B318),1,1))+YEAR(B318)-YEAR(B317)-1)</f>
        <v/>
      </c>
      <c r="F318" s="8">
        <f>K317</f>
        <v/>
      </c>
      <c r="G318" s="7">
        <f>$B$10</f>
        <v/>
      </c>
      <c r="H318" s="8">
        <f>F318*G318*E318</f>
        <v/>
      </c>
      <c r="I318" s="8">
        <f>SUM(H318:H318)</f>
        <v/>
      </c>
      <c r="J318" s="8">
        <f>$B$7/$B$13</f>
        <v/>
      </c>
      <c r="K318" s="8">
        <f>F318-J318</f>
        <v/>
      </c>
    </row>
    <row r="319">
      <c r="A319" t="n">
        <v>323</v>
      </c>
      <c r="B319" s="10">
        <f>MIN(DATE(YEAR($E$3),MONTH($E$3)+A319*$E$4,MIN($E$5,DAY(EOMONTH(DATE(YEAR($E$3),MONTH($E$3)+A319*$E$4,1),0)))),$B$6)</f>
        <v/>
      </c>
      <c r="C319" t="inlineStr">
        <is>
          <t>проценты, тело</t>
        </is>
      </c>
      <c r="D319">
        <f>B319-B318</f>
        <v/>
      </c>
      <c r="E319" s="11">
        <f>IF(YEAR(B318)=YEAR(B319),(B319-B318)/(DATE(YEAR(B318)+1,1,1)-DATE(YEAR(B318),1,1)),(DATE(YEAR(B318)+1,1,1)-B318)/(DATE(YEAR(B318)+1,1,1)-DATE(YEAR(B318),1,1))+(B319-DATE(YEAR(B319),1,1))/(DATE(YEAR(B319)+1,1,1)-DATE(YEAR(B319),1,1))+YEAR(B319)-YEAR(B318)-1)</f>
        <v/>
      </c>
      <c r="F319" s="8">
        <f>K318</f>
        <v/>
      </c>
      <c r="G319" s="7">
        <f>$B$10</f>
        <v/>
      </c>
      <c r="H319" s="8">
        <f>F319*G319*E319</f>
        <v/>
      </c>
      <c r="I319" s="8">
        <f>SUM(H319:H319)</f>
        <v/>
      </c>
      <c r="J319" s="8">
        <f>$B$7/$B$13</f>
        <v/>
      </c>
      <c r="K319" s="8">
        <f>F319-J319</f>
        <v/>
      </c>
    </row>
    <row r="320">
      <c r="A320" t="n">
        <v>324</v>
      </c>
      <c r="B320" s="10">
        <f>MIN(DATE(YEAR($E$3),MONTH($E$3)+A320*$E$4,MIN($E$5,DAY(EOMONTH(DATE(YEAR($E$3),MONTH($E$3)+A320*$E$4,1),0)))),$B$6)</f>
        <v/>
      </c>
      <c r="C320" t="inlineStr">
        <is>
          <t>проценты, тело</t>
        </is>
      </c>
      <c r="D320">
        <f>B320-B319</f>
        <v/>
      </c>
      <c r="E320" s="11">
        <f>IF(YEAR(B319)=YEAR(B320),(B320-B319)/(DATE(YEAR(B319)+1,1,1)-DATE(YEAR(B319),1,1)),(DATE(YEAR(B319)+1,1,1)-B319)/(DATE(YEAR(B319)+1,1,1)-DATE(YEAR(B319),1,1))+(B320-DATE(YEAR(B320),1,1))/(DATE(YEAR(B320)+1,1,1)-DATE(YEAR(B320),1,1))+YEAR(B320)-YEAR(B319)-1)</f>
        <v/>
      </c>
      <c r="F320" s="8">
        <f>K319</f>
        <v/>
      </c>
      <c r="G320" s="7">
        <f>$B$10</f>
        <v/>
      </c>
      <c r="H320" s="8">
        <f>F320*G320*E320</f>
        <v/>
      </c>
      <c r="I320" s="8">
        <f>SUM(H320:H320)</f>
        <v/>
      </c>
      <c r="J320" s="8">
        <f>$B$7/$B$13</f>
        <v/>
      </c>
      <c r="K320" s="8">
        <f>F320-J320</f>
        <v/>
      </c>
    </row>
    <row r="321">
      <c r="A321" t="n">
        <v>325</v>
      </c>
      <c r="B321" s="10">
        <f>MIN(DATE(YEAR($E$3),MONTH($E$3)+A321*$E$4,MIN($E$5,DAY(EOMONTH(DATE(YEAR($E$3),MONTH($E$3)+A321*$E$4,1),0)))),$B$6)</f>
        <v/>
      </c>
      <c r="C321" t="inlineStr">
        <is>
          <t>проценты, тело</t>
        </is>
      </c>
      <c r="D321">
        <f>B321-B320</f>
        <v/>
      </c>
      <c r="E321" s="11">
        <f>IF(YEAR(B320)=YEAR(B321),(B321-B320)/(DATE(YEAR(B320)+1,1,1)-DATE(YEAR(B320),1,1)),(DATE(YEAR(B320)+1,1,1)-B320)/(DATE(YEAR(B320)+1,1,1)-DATE(YEAR(B320),1,1))+(B321-DATE(YEAR(B321),1,1))/(DATE(YEAR(B321)+1,1,1)-DATE(YEAR(B321),1,1))+YEAR(B321)-YEAR(B320)-1)</f>
        <v/>
      </c>
      <c r="F321" s="8">
        <f>K320</f>
        <v/>
      </c>
      <c r="G321" s="7">
        <f>$B$10</f>
        <v/>
      </c>
      <c r="H321" s="8">
        <f>F321*G321*E321</f>
        <v/>
      </c>
      <c r="I321" s="8">
        <f>SUM(H321:H321)</f>
        <v/>
      </c>
      <c r="J321" s="8">
        <f>$B$7/$B$13</f>
        <v/>
      </c>
      <c r="K321" s="8">
        <f>F321-J321</f>
        <v/>
      </c>
    </row>
    <row r="322">
      <c r="A322" t="n">
        <v>326</v>
      </c>
      <c r="B322" s="10">
        <f>MIN(DATE(YEAR($E$3),MONTH($E$3)+A322*$E$4,MIN($E$5,DAY(EOMONTH(DATE(YEAR($E$3),MONTH($E$3)+A322*$E$4,1),0)))),$B$6)</f>
        <v/>
      </c>
      <c r="C322" t="inlineStr">
        <is>
          <t>проценты, тело</t>
        </is>
      </c>
      <c r="D322">
        <f>B322-B321</f>
        <v/>
      </c>
      <c r="E322" s="11">
        <f>IF(YEAR(B321)=YEAR(B322),(B322-B321)/(DATE(YEAR(B321)+1,1,1)-DATE(YEAR(B321),1,1)),(DATE(YEAR(B321)+1,1,1)-B321)/(DATE(YEAR(B321)+1,1,1)-DATE(YEAR(B321),1,1))+(B322-DATE(YEAR(B322),1,1))/(DATE(YEAR(B322)+1,1,1)-DATE(YEAR(B322),1,1))+YEAR(B322)-YEAR(B321)-1)</f>
        <v/>
      </c>
      <c r="F322" s="8">
        <f>K321</f>
        <v/>
      </c>
      <c r="G322" s="7">
        <f>$B$10</f>
        <v/>
      </c>
      <c r="H322" s="8">
        <f>F322*G322*E322</f>
        <v/>
      </c>
      <c r="I322" s="8">
        <f>SUM(H322:H322)</f>
        <v/>
      </c>
      <c r="J322" s="8">
        <f>$B$7/$B$13</f>
        <v/>
      </c>
      <c r="K322" s="8">
        <f>F322-J322</f>
        <v/>
      </c>
    </row>
    <row r="323">
      <c r="A323" t="n">
        <v>327</v>
      </c>
      <c r="B323" s="10">
        <f>MIN(DATE(YEAR($E$3),MONTH($E$3)+A323*$E$4,MIN($E$5,DAY(EOMONTH(DATE(YEAR($E$3),MONTH($E$3)+A323*$E$4,1),0)))),$B$6)</f>
        <v/>
      </c>
      <c r="C323" t="inlineStr">
        <is>
          <t>проценты, тело</t>
        </is>
      </c>
      <c r="D323">
        <f>B323-B322</f>
        <v/>
      </c>
      <c r="E323" s="11">
        <f>IF(YEAR(B322)=YEAR(B323),(B323-B322)/(DATE(YEAR(B322)+1,1,1)-DATE(YEAR(B322),1,1)),(DATE(YEAR(B322)+1,1,1)-B322)/(DATE(YEAR(B322)+1,1,1)-DATE(YEAR(B322),1,1))+(B323-DATE(YEAR(B323),1,1))/(DATE(YEAR(B323)+1,1,1)-DATE(YEAR(B323),1,1))+YEAR(B323)-YEAR(B322)-1)</f>
        <v/>
      </c>
      <c r="F323" s="8">
        <f>K322</f>
        <v/>
      </c>
      <c r="G323" s="7">
        <f>$B$10</f>
        <v/>
      </c>
      <c r="H323" s="8">
        <f>F323*G323*E323</f>
        <v/>
      </c>
      <c r="I323" s="8">
        <f>SUM(H323:H323)</f>
        <v/>
      </c>
      <c r="J323" s="8">
        <f>$B$7/$B$13</f>
        <v/>
      </c>
      <c r="K323" s="8">
        <f>F323-J323</f>
        <v/>
      </c>
    </row>
    <row r="324">
      <c r="A324" t="n">
        <v>328</v>
      </c>
      <c r="B324" s="10">
        <f>MIN(DATE(YEAR($E$3),MONTH($E$3)+A324*$E$4,MIN($E$5,DAY(EOMONTH(DATE(YEAR($E$3),MONTH($E$3)+A324*$E$4,1),0)))),$B$6)</f>
        <v/>
      </c>
      <c r="C324" t="inlineStr">
        <is>
          <t>проценты, тело</t>
        </is>
      </c>
      <c r="D324">
        <f>B324-B323</f>
        <v/>
      </c>
      <c r="E324" s="11">
        <f>IF(YEAR(B323)=YEAR(B324),(B324-B323)/(DATE(YEAR(B323)+1,1,1)-DATE(YEAR(B323),1,1)),(DATE(YEAR(B323)+1,1,1)-B323)/(DATE(YEAR(B323)+1,1,1)-DATE(YEAR(B323),1,1))+(B324-DATE(YEAR(B324),1,1))/(DATE(YEAR(B324)+1,1,1)-DATE(YEAR(B324),1,1))+YEAR(B324)-YEAR(B323)-1)</f>
        <v/>
      </c>
      <c r="F324" s="8">
        <f>K323</f>
        <v/>
      </c>
      <c r="G324" s="7">
        <f>$B$10</f>
        <v/>
      </c>
      <c r="H324" s="8">
        <f>F324*G324*E324</f>
        <v/>
      </c>
      <c r="I324" s="8">
        <f>SUM(H324:H324)</f>
        <v/>
      </c>
      <c r="J324" s="8">
        <f>$B$7/$B$13</f>
        <v/>
      </c>
      <c r="K324" s="8">
        <f>F324-J324</f>
        <v/>
      </c>
    </row>
    <row r="325">
      <c r="A325" t="n">
        <v>329</v>
      </c>
      <c r="B325" s="10">
        <f>MIN(DATE(YEAR($E$3),MONTH($E$3)+A325*$E$4,MIN($E$5,DAY(EOMONTH(DATE(YEAR($E$3),MONTH($E$3)+A325*$E$4,1),0)))),$B$6)</f>
        <v/>
      </c>
      <c r="C325" t="inlineStr">
        <is>
          <t>проценты, тело</t>
        </is>
      </c>
      <c r="D325">
        <f>B325-B324</f>
        <v/>
      </c>
      <c r="E325" s="11">
        <f>IF(YEAR(B324)=YEAR(B325),(B325-B324)/(DATE(YEAR(B324)+1,1,1)-DATE(YEAR(B324),1,1)),(DATE(YEAR(B324)+1,1,1)-B324)/(DATE(YEAR(B324)+1,1,1)-DATE(YEAR(B324),1,1))+(B325-DATE(YEAR(B325),1,1))/(DATE(YEAR(B325)+1,1,1)-DATE(YEAR(B325),1,1))+YEAR(B325)-YEAR(B324)-1)</f>
        <v/>
      </c>
      <c r="F325" s="8">
        <f>K324</f>
        <v/>
      </c>
      <c r="G325" s="7">
        <f>$B$10</f>
        <v/>
      </c>
      <c r="H325" s="8">
        <f>F325*G325*E325</f>
        <v/>
      </c>
      <c r="I325" s="8">
        <f>SUM(H325:H325)</f>
        <v/>
      </c>
      <c r="J325" s="8">
        <f>$B$7/$B$13</f>
        <v/>
      </c>
      <c r="K325" s="8">
        <f>F325-J325</f>
        <v/>
      </c>
    </row>
    <row r="326">
      <c r="A326" t="n">
        <v>330</v>
      </c>
      <c r="B326" s="10">
        <f>MIN(DATE(YEAR($E$3),MONTH($E$3)+A326*$E$4,MIN($E$5,DAY(EOMONTH(DATE(YEAR($E$3),MONTH($E$3)+A326*$E$4,1),0)))),$B$6)</f>
        <v/>
      </c>
      <c r="C326" t="inlineStr">
        <is>
          <t>проценты, тело</t>
        </is>
      </c>
      <c r="D326">
        <f>B326-B325</f>
        <v/>
      </c>
      <c r="E326" s="11">
        <f>IF(YEAR(B325)=YEAR(B326),(B326-B325)/(DATE(YEAR(B325)+1,1,1)-DATE(YEAR(B325),1,1)),(DATE(YEAR(B325)+1,1,1)-B325)/(DATE(YEAR(B325)+1,1,1)-DATE(YEAR(B325),1,1))+(B326-DATE(YEAR(B326),1,1))/(DATE(YEAR(B326)+1,1,1)-DATE(YEAR(B326),1,1))+YEAR(B326)-YEAR(B325)-1)</f>
        <v/>
      </c>
      <c r="F326" s="8">
        <f>K325</f>
        <v/>
      </c>
      <c r="G326" s="7">
        <f>$B$10</f>
        <v/>
      </c>
      <c r="H326" s="8">
        <f>F326*G326*E326</f>
        <v/>
      </c>
      <c r="I326" s="8">
        <f>SUM(H326:H326)</f>
        <v/>
      </c>
      <c r="J326" s="8">
        <f>$B$7/$B$13</f>
        <v/>
      </c>
      <c r="K326" s="8">
        <f>F326-J326</f>
        <v/>
      </c>
    </row>
    <row r="327">
      <c r="A327" t="n">
        <v>331</v>
      </c>
      <c r="B327" s="10">
        <f>MIN(DATE(YEAR($E$3),MONTH($E$3)+A327*$E$4,MIN($E$5,DAY(EOMONTH(DATE(YEAR($E$3),MONTH($E$3)+A327*$E$4,1),0)))),$B$6)</f>
        <v/>
      </c>
      <c r="C327" t="inlineStr">
        <is>
          <t>проценты, тело</t>
        </is>
      </c>
      <c r="D327">
        <f>B327-B326</f>
        <v/>
      </c>
      <c r="E327" s="11">
        <f>IF(YEAR(B326)=YEAR(B327),(B327-B326)/(DATE(YEAR(B326)+1,1,1)-DATE(YEAR(B326),1,1)),(DATE(YEAR(B326)+1,1,1)-B326)/(DATE(YEAR(B326)+1,1,1)-DATE(YEAR(B326),1,1))+(B327-DATE(YEAR(B327),1,1))/(DATE(YEAR(B327)+1,1,1)-DATE(YEAR(B327),1,1))+YEAR(B327)-YEAR(B326)-1)</f>
        <v/>
      </c>
      <c r="F327" s="8">
        <f>K326</f>
        <v/>
      </c>
      <c r="G327" s="7">
        <f>$B$10</f>
        <v/>
      </c>
      <c r="H327" s="8">
        <f>F327*G327*E327</f>
        <v/>
      </c>
      <c r="I327" s="8">
        <f>SUM(H327:H327)</f>
        <v/>
      </c>
      <c r="J327" s="8">
        <f>$B$7/$B$13</f>
        <v/>
      </c>
      <c r="K327" s="8">
        <f>F327-J327</f>
        <v/>
      </c>
    </row>
    <row r="328">
      <c r="A328" t="n">
        <v>332</v>
      </c>
      <c r="B328" s="10">
        <f>MIN(DATE(YEAR($E$3),MONTH($E$3)+A328*$E$4,MIN($E$5,DAY(EOMONTH(DATE(YEAR($E$3),MONTH($E$3)+A328*$E$4,1),0)))),$B$6)</f>
        <v/>
      </c>
      <c r="C328" t="inlineStr">
        <is>
          <t>проценты, тело</t>
        </is>
      </c>
      <c r="D328">
        <f>B328-B327</f>
        <v/>
      </c>
      <c r="E328" s="11">
        <f>IF(YEAR(B327)=YEAR(B328),(B328-B327)/(DATE(YEAR(B327)+1,1,1)-DATE(YEAR(B327),1,1)),(DATE(YEAR(B327)+1,1,1)-B327)/(DATE(YEAR(B327)+1,1,1)-DATE(YEAR(B327),1,1))+(B328-DATE(YEAR(B328),1,1))/(DATE(YEAR(B328)+1,1,1)-DATE(YEAR(B328),1,1))+YEAR(B328)-YEAR(B327)-1)</f>
        <v/>
      </c>
      <c r="F328" s="8">
        <f>K327</f>
        <v/>
      </c>
      <c r="G328" s="7">
        <f>$B$10</f>
        <v/>
      </c>
      <c r="H328" s="8">
        <f>F328*G328*E328</f>
        <v/>
      </c>
      <c r="I328" s="8">
        <f>SUM(H328:H328)</f>
        <v/>
      </c>
      <c r="J328" s="8">
        <f>$B$7/$B$13</f>
        <v/>
      </c>
      <c r="K328" s="8">
        <f>F328-J328</f>
        <v/>
      </c>
    </row>
    <row r="329">
      <c r="A329" t="n">
        <v>333</v>
      </c>
      <c r="B329" s="10">
        <f>MIN(DATE(YEAR($E$3),MONTH($E$3)+A329*$E$4,MIN($E$5,DAY(EOMONTH(DATE(YEAR($E$3),MONTH($E$3)+A329*$E$4,1),0)))),$B$6)</f>
        <v/>
      </c>
      <c r="C329" t="inlineStr">
        <is>
          <t>проценты, тело</t>
        </is>
      </c>
      <c r="D329">
        <f>B329-B328</f>
        <v/>
      </c>
      <c r="E329" s="11">
        <f>IF(YEAR(B328)=YEAR(B329),(B329-B328)/(DATE(YEAR(B328)+1,1,1)-DATE(YEAR(B328),1,1)),(DATE(YEAR(B328)+1,1,1)-B328)/(DATE(YEAR(B328)+1,1,1)-DATE(YEAR(B328),1,1))+(B329-DATE(YEAR(B329),1,1))/(DATE(YEAR(B329)+1,1,1)-DATE(YEAR(B329),1,1))+YEAR(B329)-YEAR(B328)-1)</f>
        <v/>
      </c>
      <c r="F329" s="8">
        <f>K328</f>
        <v/>
      </c>
      <c r="G329" s="7">
        <f>$B$10</f>
        <v/>
      </c>
      <c r="H329" s="8">
        <f>F329*G329*E329</f>
        <v/>
      </c>
      <c r="I329" s="8">
        <f>SUM(H329:H329)</f>
        <v/>
      </c>
      <c r="J329" s="8">
        <f>$B$7/$B$13</f>
        <v/>
      </c>
      <c r="K329" s="8">
        <f>F329-J329</f>
        <v/>
      </c>
    </row>
    <row r="330">
      <c r="A330" t="n">
        <v>334</v>
      </c>
      <c r="B330" s="10">
        <f>MIN(DATE(YEAR($E$3),MONTH($E$3)+A330*$E$4,MIN($E$5,DAY(EOMONTH(DATE(YEAR($E$3),MONTH($E$3)+A330*$E$4,1),0)))),$B$6)</f>
        <v/>
      </c>
      <c r="C330" t="inlineStr">
        <is>
          <t>проценты, тело</t>
        </is>
      </c>
      <c r="D330">
        <f>B330-B329</f>
        <v/>
      </c>
      <c r="E330" s="11">
        <f>IF(YEAR(B329)=YEAR(B330),(B330-B329)/(DATE(YEAR(B329)+1,1,1)-DATE(YEAR(B329),1,1)),(DATE(YEAR(B329)+1,1,1)-B329)/(DATE(YEAR(B329)+1,1,1)-DATE(YEAR(B329),1,1))+(B330-DATE(YEAR(B330),1,1))/(DATE(YEAR(B330)+1,1,1)-DATE(YEAR(B330),1,1))+YEAR(B330)-YEAR(B329)-1)</f>
        <v/>
      </c>
      <c r="F330" s="8">
        <f>K329</f>
        <v/>
      </c>
      <c r="G330" s="7">
        <f>$B$10</f>
        <v/>
      </c>
      <c r="H330" s="8">
        <f>F330*G330*E330</f>
        <v/>
      </c>
      <c r="I330" s="8">
        <f>SUM(H330:H330)</f>
        <v/>
      </c>
      <c r="J330" s="8">
        <f>$B$7/$B$13</f>
        <v/>
      </c>
      <c r="K330" s="8">
        <f>F330-J330</f>
        <v/>
      </c>
    </row>
    <row r="331">
      <c r="A331" t="n">
        <v>335</v>
      </c>
      <c r="B331" s="10">
        <f>MIN(DATE(YEAR($E$3),MONTH($E$3)+A331*$E$4,MIN($E$5,DAY(EOMONTH(DATE(YEAR($E$3),MONTH($E$3)+A331*$E$4,1),0)))),$B$6)</f>
        <v/>
      </c>
      <c r="C331" t="inlineStr">
        <is>
          <t>проценты, тело</t>
        </is>
      </c>
      <c r="D331">
        <f>B331-B330</f>
        <v/>
      </c>
      <c r="E331" s="11">
        <f>IF(YEAR(B330)=YEAR(B331),(B331-B330)/(DATE(YEAR(B330)+1,1,1)-DATE(YEAR(B330),1,1)),(DATE(YEAR(B330)+1,1,1)-B330)/(DATE(YEAR(B330)+1,1,1)-DATE(YEAR(B330),1,1))+(B331-DATE(YEAR(B331),1,1))/(DATE(YEAR(B331)+1,1,1)-DATE(YEAR(B331),1,1))+YEAR(B331)-YEAR(B330)-1)</f>
        <v/>
      </c>
      <c r="F331" s="8">
        <f>K330</f>
        <v/>
      </c>
      <c r="G331" s="7">
        <f>$B$10</f>
        <v/>
      </c>
      <c r="H331" s="8">
        <f>F331*G331*E331</f>
        <v/>
      </c>
      <c r="I331" s="8">
        <f>SUM(H331:H331)</f>
        <v/>
      </c>
      <c r="J331" s="8">
        <f>$B$7/$B$13</f>
        <v/>
      </c>
      <c r="K331" s="8">
        <f>F331-J331</f>
        <v/>
      </c>
    </row>
    <row r="332">
      <c r="A332" t="n">
        <v>336</v>
      </c>
      <c r="B332" s="10">
        <f>MIN(DATE(YEAR($E$3),MONTH($E$3)+A332*$E$4,MIN($E$5,DAY(EOMONTH(DATE(YEAR($E$3),MONTH($E$3)+A332*$E$4,1),0)))),$B$6)</f>
        <v/>
      </c>
      <c r="C332" t="inlineStr">
        <is>
          <t>проценты, тело</t>
        </is>
      </c>
      <c r="D332">
        <f>B332-B331</f>
        <v/>
      </c>
      <c r="E332" s="11">
        <f>IF(YEAR(B331)=YEAR(B332),(B332-B331)/(DATE(YEAR(B331)+1,1,1)-DATE(YEAR(B331),1,1)),(DATE(YEAR(B331)+1,1,1)-B331)/(DATE(YEAR(B331)+1,1,1)-DATE(YEAR(B331),1,1))+(B332-DATE(YEAR(B332),1,1))/(DATE(YEAR(B332)+1,1,1)-DATE(YEAR(B332),1,1))+YEAR(B332)-YEAR(B331)-1)</f>
        <v/>
      </c>
      <c r="F332" s="8">
        <f>K331</f>
        <v/>
      </c>
      <c r="G332" s="7">
        <f>$B$10</f>
        <v/>
      </c>
      <c r="H332" s="8">
        <f>F332*G332*E332</f>
        <v/>
      </c>
      <c r="I332" s="8">
        <f>SUM(H332:H332)</f>
        <v/>
      </c>
      <c r="J332" s="8">
        <f>$B$7/$B$13</f>
        <v/>
      </c>
      <c r="K332" s="8">
        <f>F332-J332</f>
        <v/>
      </c>
    </row>
    <row r="333">
      <c r="A333" t="n">
        <v>337</v>
      </c>
      <c r="B333" s="10">
        <f>MIN(DATE(YEAR($E$3),MONTH($E$3)+A333*$E$4,MIN($E$5,DAY(EOMONTH(DATE(YEAR($E$3),MONTH($E$3)+A333*$E$4,1),0)))),$B$6)</f>
        <v/>
      </c>
      <c r="C333" t="inlineStr">
        <is>
          <t>проценты, тело</t>
        </is>
      </c>
      <c r="D333">
        <f>B333-B332</f>
        <v/>
      </c>
      <c r="E333" s="11">
        <f>IF(YEAR(B332)=YEAR(B333),(B333-B332)/(DATE(YEAR(B332)+1,1,1)-DATE(YEAR(B332),1,1)),(DATE(YEAR(B332)+1,1,1)-B332)/(DATE(YEAR(B332)+1,1,1)-DATE(YEAR(B332),1,1))+(B333-DATE(YEAR(B333),1,1))/(DATE(YEAR(B333)+1,1,1)-DATE(YEAR(B333),1,1))+YEAR(B333)-YEAR(B332)-1)</f>
        <v/>
      </c>
      <c r="F333" s="8">
        <f>K332</f>
        <v/>
      </c>
      <c r="G333" s="7">
        <f>$B$10</f>
        <v/>
      </c>
      <c r="H333" s="8">
        <f>F333*G333*E333</f>
        <v/>
      </c>
      <c r="I333" s="8">
        <f>SUM(H333:H333)</f>
        <v/>
      </c>
      <c r="J333" s="8">
        <f>$B$7/$B$13</f>
        <v/>
      </c>
      <c r="K333" s="8">
        <f>F333-J333</f>
        <v/>
      </c>
    </row>
    <row r="334">
      <c r="A334" t="n">
        <v>338</v>
      </c>
      <c r="B334" s="10">
        <f>MIN(DATE(YEAR($E$3),MONTH($E$3)+A334*$E$4,MIN($E$5,DAY(EOMONTH(DATE(YEAR($E$3),MONTH($E$3)+A334*$E$4,1),0)))),$B$6)</f>
        <v/>
      </c>
      <c r="C334" t="inlineStr">
        <is>
          <t>проценты, тело</t>
        </is>
      </c>
      <c r="D334">
        <f>B334-B333</f>
        <v/>
      </c>
      <c r="E334" s="11">
        <f>IF(YEAR(B333)=YEAR(B334),(B334-B333)/(DATE(YEAR(B333)+1,1,1)-DATE(YEAR(B333),1,1)),(DATE(YEAR(B333)+1,1,1)-B333)/(DATE(YEAR(B333)+1,1,1)-DATE(YEAR(B333),1,1))+(B334-DATE(YEAR(B334),1,1))/(DATE(YEAR(B334)+1,1,1)-DATE(YEAR(B334),1,1))+YEAR(B334)-YEAR(B333)-1)</f>
        <v/>
      </c>
      <c r="F334" s="8">
        <f>K333</f>
        <v/>
      </c>
      <c r="G334" s="7">
        <f>$B$10</f>
        <v/>
      </c>
      <c r="H334" s="8">
        <f>F334*G334*E334</f>
        <v/>
      </c>
      <c r="I334" s="8">
        <f>SUM(H334:H334)</f>
        <v/>
      </c>
      <c r="J334" s="8">
        <f>$B$7/$B$13</f>
        <v/>
      </c>
      <c r="K334" s="8">
        <f>F334-J334</f>
        <v/>
      </c>
    </row>
    <row r="335">
      <c r="A335" t="n">
        <v>339</v>
      </c>
      <c r="B335" s="10">
        <f>MIN(DATE(YEAR($E$3),MONTH($E$3)+A335*$E$4,MIN($E$5,DAY(EOMONTH(DATE(YEAR($E$3),MONTH($E$3)+A335*$E$4,1),0)))),$B$6)</f>
        <v/>
      </c>
      <c r="C335" t="inlineStr">
        <is>
          <t>проценты, тело</t>
        </is>
      </c>
      <c r="D335">
        <f>B335-B334</f>
        <v/>
      </c>
      <c r="E335" s="11">
        <f>IF(YEAR(B334)=YEAR(B335),(B335-B334)/(DATE(YEAR(B334)+1,1,1)-DATE(YEAR(B334),1,1)),(DATE(YEAR(B334)+1,1,1)-B334)/(DATE(YEAR(B334)+1,1,1)-DATE(YEAR(B334),1,1))+(B335-DATE(YEAR(B335),1,1))/(DATE(YEAR(B335)+1,1,1)-DATE(YEAR(B335),1,1))+YEAR(B335)-YEAR(B334)-1)</f>
        <v/>
      </c>
      <c r="F335" s="8">
        <f>K334</f>
        <v/>
      </c>
      <c r="G335" s="7">
        <f>$B$10</f>
        <v/>
      </c>
      <c r="H335" s="8">
        <f>F335*G335*E335</f>
        <v/>
      </c>
      <c r="I335" s="8">
        <f>SUM(H335:H335)</f>
        <v/>
      </c>
      <c r="J335" s="8">
        <f>$B$7/$B$13</f>
        <v/>
      </c>
      <c r="K335" s="8">
        <f>F335-J335</f>
        <v/>
      </c>
    </row>
    <row r="336">
      <c r="A336" t="n">
        <v>340</v>
      </c>
      <c r="B336" s="10">
        <f>MIN(DATE(YEAR($E$3),MONTH($E$3)+A336*$E$4,MIN($E$5,DAY(EOMONTH(DATE(YEAR($E$3),MONTH($E$3)+A336*$E$4,1),0)))),$B$6)</f>
        <v/>
      </c>
      <c r="C336" t="inlineStr">
        <is>
          <t>проценты, тело</t>
        </is>
      </c>
      <c r="D336">
        <f>B336-B335</f>
        <v/>
      </c>
      <c r="E336" s="11">
        <f>IF(YEAR(B335)=YEAR(B336),(B336-B335)/(DATE(YEAR(B335)+1,1,1)-DATE(YEAR(B335),1,1)),(DATE(YEAR(B335)+1,1,1)-B335)/(DATE(YEAR(B335)+1,1,1)-DATE(YEAR(B335),1,1))+(B336-DATE(YEAR(B336),1,1))/(DATE(YEAR(B336)+1,1,1)-DATE(YEAR(B336),1,1))+YEAR(B336)-YEAR(B335)-1)</f>
        <v/>
      </c>
      <c r="F336" s="8">
        <f>K335</f>
        <v/>
      </c>
      <c r="G336" s="7">
        <f>$B$10</f>
        <v/>
      </c>
      <c r="H336" s="8">
        <f>F336*G336*E336</f>
        <v/>
      </c>
      <c r="I336" s="8">
        <f>SUM(H336:H336)</f>
        <v/>
      </c>
      <c r="J336" s="8">
        <f>$B$7/$B$13</f>
        <v/>
      </c>
      <c r="K336" s="8">
        <f>F336-J336</f>
        <v/>
      </c>
    </row>
    <row r="337">
      <c r="A337" t="n">
        <v>341</v>
      </c>
      <c r="B337" s="10">
        <f>MIN(DATE(YEAR($E$3),MONTH($E$3)+A337*$E$4,MIN($E$5,DAY(EOMONTH(DATE(YEAR($E$3),MONTH($E$3)+A337*$E$4,1),0)))),$B$6)</f>
        <v/>
      </c>
      <c r="C337" t="inlineStr">
        <is>
          <t>проценты, тело</t>
        </is>
      </c>
      <c r="D337">
        <f>B337-B336</f>
        <v/>
      </c>
      <c r="E337" s="11">
        <f>IF(YEAR(B336)=YEAR(B337),(B337-B336)/(DATE(YEAR(B336)+1,1,1)-DATE(YEAR(B336),1,1)),(DATE(YEAR(B336)+1,1,1)-B336)/(DATE(YEAR(B336)+1,1,1)-DATE(YEAR(B336),1,1))+(B337-DATE(YEAR(B337),1,1))/(DATE(YEAR(B337)+1,1,1)-DATE(YEAR(B337),1,1))+YEAR(B337)-YEAR(B336)-1)</f>
        <v/>
      </c>
      <c r="F337" s="8">
        <f>K336</f>
        <v/>
      </c>
      <c r="G337" s="7">
        <f>$B$10</f>
        <v/>
      </c>
      <c r="H337" s="8">
        <f>F337*G337*E337</f>
        <v/>
      </c>
      <c r="I337" s="8">
        <f>SUM(H337:H337)</f>
        <v/>
      </c>
      <c r="J337" s="8">
        <f>$B$7/$B$13</f>
        <v/>
      </c>
      <c r="K337" s="8">
        <f>F337-J337</f>
        <v/>
      </c>
    </row>
    <row r="338">
      <c r="A338" t="n">
        <v>342</v>
      </c>
      <c r="B338" s="10">
        <f>MIN(DATE(YEAR($E$3),MONTH($E$3)+A338*$E$4,MIN($E$5,DAY(EOMONTH(DATE(YEAR($E$3),MONTH($E$3)+A338*$E$4,1),0)))),$B$6)</f>
        <v/>
      </c>
      <c r="C338" t="inlineStr">
        <is>
          <t>проценты, тело</t>
        </is>
      </c>
      <c r="D338">
        <f>B338-B337</f>
        <v/>
      </c>
      <c r="E338" s="11">
        <f>IF(YEAR(B337)=YEAR(B338),(B338-B337)/(DATE(YEAR(B337)+1,1,1)-DATE(YEAR(B337),1,1)),(DATE(YEAR(B337)+1,1,1)-B337)/(DATE(YEAR(B337)+1,1,1)-DATE(YEAR(B337),1,1))+(B338-DATE(YEAR(B338),1,1))/(DATE(YEAR(B338)+1,1,1)-DATE(YEAR(B338),1,1))+YEAR(B338)-YEAR(B337)-1)</f>
        <v/>
      </c>
      <c r="F338" s="8">
        <f>K337</f>
        <v/>
      </c>
      <c r="G338" s="7">
        <f>$B$10</f>
        <v/>
      </c>
      <c r="H338" s="8">
        <f>F338*G338*E338</f>
        <v/>
      </c>
      <c r="I338" s="8">
        <f>SUM(H338:H338)</f>
        <v/>
      </c>
      <c r="J338" s="8">
        <f>$B$7/$B$13</f>
        <v/>
      </c>
      <c r="K338" s="8">
        <f>F338-J338</f>
        <v/>
      </c>
    </row>
    <row r="339">
      <c r="A339" t="n">
        <v>343</v>
      </c>
      <c r="B339" s="10">
        <f>MIN(DATE(YEAR($E$3),MONTH($E$3)+A339*$E$4,MIN($E$5,DAY(EOMONTH(DATE(YEAR($E$3),MONTH($E$3)+A339*$E$4,1),0)))),$B$6)</f>
        <v/>
      </c>
      <c r="C339" t="inlineStr">
        <is>
          <t>проценты, тело</t>
        </is>
      </c>
      <c r="D339">
        <f>B339-B338</f>
        <v/>
      </c>
      <c r="E339" s="11">
        <f>IF(YEAR(B338)=YEAR(B339),(B339-B338)/(DATE(YEAR(B338)+1,1,1)-DATE(YEAR(B338),1,1)),(DATE(YEAR(B338)+1,1,1)-B338)/(DATE(YEAR(B338)+1,1,1)-DATE(YEAR(B338),1,1))+(B339-DATE(YEAR(B339),1,1))/(DATE(YEAR(B339)+1,1,1)-DATE(YEAR(B339),1,1))+YEAR(B339)-YEAR(B338)-1)</f>
        <v/>
      </c>
      <c r="F339" s="8">
        <f>K338</f>
        <v/>
      </c>
      <c r="G339" s="7">
        <f>$B$10</f>
        <v/>
      </c>
      <c r="H339" s="8">
        <f>F339*G339*E339</f>
        <v/>
      </c>
      <c r="I339" s="8">
        <f>SUM(H339:H339)</f>
        <v/>
      </c>
      <c r="J339" s="8">
        <f>$B$7/$B$13</f>
        <v/>
      </c>
      <c r="K339" s="8">
        <f>F339-J339</f>
        <v/>
      </c>
    </row>
    <row r="340">
      <c r="A340" t="n">
        <v>344</v>
      </c>
      <c r="B340" s="10">
        <f>MIN(DATE(YEAR($E$3),MONTH($E$3)+A340*$E$4,MIN($E$5,DAY(EOMONTH(DATE(YEAR($E$3),MONTH($E$3)+A340*$E$4,1),0)))),$B$6)</f>
        <v/>
      </c>
      <c r="C340" t="inlineStr">
        <is>
          <t>проценты, тело</t>
        </is>
      </c>
      <c r="D340">
        <f>B340-B339</f>
        <v/>
      </c>
      <c r="E340" s="11">
        <f>IF(YEAR(B339)=YEAR(B340),(B340-B339)/(DATE(YEAR(B339)+1,1,1)-DATE(YEAR(B339),1,1)),(DATE(YEAR(B339)+1,1,1)-B339)/(DATE(YEAR(B339)+1,1,1)-DATE(YEAR(B339),1,1))+(B340-DATE(YEAR(B340),1,1))/(DATE(YEAR(B340)+1,1,1)-DATE(YEAR(B340),1,1))+YEAR(B340)-YEAR(B339)-1)</f>
        <v/>
      </c>
      <c r="F340" s="8">
        <f>K339</f>
        <v/>
      </c>
      <c r="G340" s="7">
        <f>$B$10</f>
        <v/>
      </c>
      <c r="H340" s="8">
        <f>F340*G340*E340</f>
        <v/>
      </c>
      <c r="I340" s="8">
        <f>SUM(H340:H340)</f>
        <v/>
      </c>
      <c r="J340" s="8">
        <f>$B$7/$B$13</f>
        <v/>
      </c>
      <c r="K340" s="8">
        <f>F340-J340</f>
        <v/>
      </c>
    </row>
    <row r="341">
      <c r="A341" t="n">
        <v>345</v>
      </c>
      <c r="B341" s="10">
        <f>MIN(DATE(YEAR($E$3),MONTH($E$3)+A341*$E$4,MIN($E$5,DAY(EOMONTH(DATE(YEAR($E$3),MONTH($E$3)+A341*$E$4,1),0)))),$B$6)</f>
        <v/>
      </c>
      <c r="C341" t="inlineStr">
        <is>
          <t>проценты, тело</t>
        </is>
      </c>
      <c r="D341">
        <f>B341-B340</f>
        <v/>
      </c>
      <c r="E341" s="11">
        <f>IF(YEAR(B340)=YEAR(B341),(B341-B340)/(DATE(YEAR(B340)+1,1,1)-DATE(YEAR(B340),1,1)),(DATE(YEAR(B340)+1,1,1)-B340)/(DATE(YEAR(B340)+1,1,1)-DATE(YEAR(B340),1,1))+(B341-DATE(YEAR(B341),1,1))/(DATE(YEAR(B341)+1,1,1)-DATE(YEAR(B341),1,1))+YEAR(B341)-YEAR(B340)-1)</f>
        <v/>
      </c>
      <c r="F341" s="8">
        <f>K340</f>
        <v/>
      </c>
      <c r="G341" s="7">
        <f>$B$10</f>
        <v/>
      </c>
      <c r="H341" s="8">
        <f>F341*G341*E341</f>
        <v/>
      </c>
      <c r="I341" s="8">
        <f>SUM(H341:H341)</f>
        <v/>
      </c>
      <c r="J341" s="8">
        <f>$B$7/$B$13</f>
        <v/>
      </c>
      <c r="K341" s="8">
        <f>F341-J341</f>
        <v/>
      </c>
    </row>
    <row r="342">
      <c r="A342" t="n">
        <v>346</v>
      </c>
      <c r="B342" s="10">
        <f>MIN(DATE(YEAR($E$3),MONTH($E$3)+A342*$E$4,MIN($E$5,DAY(EOMONTH(DATE(YEAR($E$3),MONTH($E$3)+A342*$E$4,1),0)))),$B$6)</f>
        <v/>
      </c>
      <c r="C342" t="inlineStr">
        <is>
          <t>проценты, тело</t>
        </is>
      </c>
      <c r="D342">
        <f>B342-B341</f>
        <v/>
      </c>
      <c r="E342" s="11">
        <f>IF(YEAR(B341)=YEAR(B342),(B342-B341)/(DATE(YEAR(B341)+1,1,1)-DATE(YEAR(B341),1,1)),(DATE(YEAR(B341)+1,1,1)-B341)/(DATE(YEAR(B341)+1,1,1)-DATE(YEAR(B341),1,1))+(B342-DATE(YEAR(B342),1,1))/(DATE(YEAR(B342)+1,1,1)-DATE(YEAR(B342),1,1))+YEAR(B342)-YEAR(B341)-1)</f>
        <v/>
      </c>
      <c r="F342" s="8">
        <f>K341</f>
        <v/>
      </c>
      <c r="G342" s="7">
        <f>$B$10</f>
        <v/>
      </c>
      <c r="H342" s="8">
        <f>F342*G342*E342</f>
        <v/>
      </c>
      <c r="I342" s="8">
        <f>SUM(H342:H342)</f>
        <v/>
      </c>
      <c r="J342" s="8">
        <f>$B$7/$B$13</f>
        <v/>
      </c>
      <c r="K342" s="8">
        <f>F342-J342</f>
        <v/>
      </c>
    </row>
    <row r="343">
      <c r="A343" t="n">
        <v>347</v>
      </c>
      <c r="B343" s="10">
        <f>MIN(DATE(YEAR($E$3),MONTH($E$3)+A343*$E$4,MIN($E$5,DAY(EOMONTH(DATE(YEAR($E$3),MONTH($E$3)+A343*$E$4,1),0)))),$B$6)</f>
        <v/>
      </c>
      <c r="C343" t="inlineStr">
        <is>
          <t>проценты, тело</t>
        </is>
      </c>
      <c r="D343">
        <f>B343-B342</f>
        <v/>
      </c>
      <c r="E343" s="11">
        <f>IF(YEAR(B342)=YEAR(B343),(B343-B342)/(DATE(YEAR(B342)+1,1,1)-DATE(YEAR(B342),1,1)),(DATE(YEAR(B342)+1,1,1)-B342)/(DATE(YEAR(B342)+1,1,1)-DATE(YEAR(B342),1,1))+(B343-DATE(YEAR(B343),1,1))/(DATE(YEAR(B343)+1,1,1)-DATE(YEAR(B343),1,1))+YEAR(B343)-YEAR(B342)-1)</f>
        <v/>
      </c>
      <c r="F343" s="8">
        <f>K342</f>
        <v/>
      </c>
      <c r="G343" s="7">
        <f>$B$10</f>
        <v/>
      </c>
      <c r="H343" s="8">
        <f>F343*G343*E343</f>
        <v/>
      </c>
      <c r="I343" s="8">
        <f>SUM(H343:H343)</f>
        <v/>
      </c>
      <c r="J343" s="8">
        <f>$B$7/$B$13</f>
        <v/>
      </c>
      <c r="K343" s="8">
        <f>F343-J343</f>
        <v/>
      </c>
    </row>
    <row r="344">
      <c r="A344" t="n">
        <v>348</v>
      </c>
      <c r="B344" s="10">
        <f>MIN(DATE(YEAR($E$3),MONTH($E$3)+A344*$E$4,MIN($E$5,DAY(EOMONTH(DATE(YEAR($E$3),MONTH($E$3)+A344*$E$4,1),0)))),$B$6)</f>
        <v/>
      </c>
      <c r="C344" t="inlineStr">
        <is>
          <t>проценты, тело</t>
        </is>
      </c>
      <c r="D344">
        <f>B344-B343</f>
        <v/>
      </c>
      <c r="E344" s="11">
        <f>IF(YEAR(B343)=YEAR(B344),(B344-B343)/(DATE(YEAR(B343)+1,1,1)-DATE(YEAR(B343),1,1)),(DATE(YEAR(B343)+1,1,1)-B343)/(DATE(YEAR(B343)+1,1,1)-DATE(YEAR(B343),1,1))+(B344-DATE(YEAR(B344),1,1))/(DATE(YEAR(B344)+1,1,1)-DATE(YEAR(B344),1,1))+YEAR(B344)-YEAR(B343)-1)</f>
        <v/>
      </c>
      <c r="F344" s="8">
        <f>K343</f>
        <v/>
      </c>
      <c r="G344" s="7">
        <f>$B$10</f>
        <v/>
      </c>
      <c r="H344" s="8">
        <f>F344*G344*E344</f>
        <v/>
      </c>
      <c r="I344" s="8">
        <f>SUM(H344:H344)</f>
        <v/>
      </c>
      <c r="J344" s="8">
        <f>$B$7/$B$13</f>
        <v/>
      </c>
      <c r="K344" s="8">
        <f>F344-J344</f>
        <v/>
      </c>
    </row>
    <row r="345">
      <c r="A345" t="n">
        <v>349</v>
      </c>
      <c r="B345" s="10">
        <f>MIN(DATE(YEAR($E$3),MONTH($E$3)+A345*$E$4,MIN($E$5,DAY(EOMONTH(DATE(YEAR($E$3),MONTH($E$3)+A345*$E$4,1),0)))),$B$6)</f>
        <v/>
      </c>
      <c r="C345" t="inlineStr">
        <is>
          <t>проценты, тело</t>
        </is>
      </c>
      <c r="D345">
        <f>B345-B344</f>
        <v/>
      </c>
      <c r="E345" s="11">
        <f>IF(YEAR(B344)=YEAR(B345),(B345-B344)/(DATE(YEAR(B344)+1,1,1)-DATE(YEAR(B344),1,1)),(DATE(YEAR(B344)+1,1,1)-B344)/(DATE(YEAR(B344)+1,1,1)-DATE(YEAR(B344),1,1))+(B345-DATE(YEAR(B345),1,1))/(DATE(YEAR(B345)+1,1,1)-DATE(YEAR(B345),1,1))+YEAR(B345)-YEAR(B344)-1)</f>
        <v/>
      </c>
      <c r="F345" s="8">
        <f>K344</f>
        <v/>
      </c>
      <c r="G345" s="7">
        <f>$B$10</f>
        <v/>
      </c>
      <c r="H345" s="8">
        <f>F345*G345*E345</f>
        <v/>
      </c>
      <c r="I345" s="8">
        <f>SUM(H345:H345)</f>
        <v/>
      </c>
      <c r="J345" s="8">
        <f>$B$7/$B$13</f>
        <v/>
      </c>
      <c r="K345" s="8">
        <f>F345-J345</f>
        <v/>
      </c>
    </row>
    <row r="346">
      <c r="A346" t="n">
        <v>350</v>
      </c>
      <c r="B346" s="10">
        <f>MIN(DATE(YEAR($E$3),MONTH($E$3)+A346*$E$4,MIN($E$5,DAY(EOMONTH(DATE(YEAR($E$3),MONTH($E$3)+A346*$E$4,1),0)))),$B$6)</f>
        <v/>
      </c>
      <c r="C346" t="inlineStr">
        <is>
          <t>проценты, тело</t>
        </is>
      </c>
      <c r="D346">
        <f>B346-B345</f>
        <v/>
      </c>
      <c r="E346" s="11">
        <f>IF(YEAR(B345)=YEAR(B346),(B346-B345)/(DATE(YEAR(B345)+1,1,1)-DATE(YEAR(B345),1,1)),(DATE(YEAR(B345)+1,1,1)-B345)/(DATE(YEAR(B345)+1,1,1)-DATE(YEAR(B345),1,1))+(B346-DATE(YEAR(B346),1,1))/(DATE(YEAR(B346)+1,1,1)-DATE(YEAR(B346),1,1))+YEAR(B346)-YEAR(B345)-1)</f>
        <v/>
      </c>
      <c r="F346" s="8">
        <f>K345</f>
        <v/>
      </c>
      <c r="G346" s="7">
        <f>$B$10</f>
        <v/>
      </c>
      <c r="H346" s="8">
        <f>F346*G346*E346</f>
        <v/>
      </c>
      <c r="I346" s="8">
        <f>SUM(H346:H346)</f>
        <v/>
      </c>
      <c r="J346" s="8">
        <f>$B$7/$B$13</f>
        <v/>
      </c>
      <c r="K346" s="8">
        <f>F346-J346</f>
        <v/>
      </c>
    </row>
    <row r="347">
      <c r="A347" t="n">
        <v>351</v>
      </c>
      <c r="B347" s="10">
        <f>MIN(DATE(YEAR($E$3),MONTH($E$3)+A347*$E$4,MIN($E$5,DAY(EOMONTH(DATE(YEAR($E$3),MONTH($E$3)+A347*$E$4,1),0)))),$B$6)</f>
        <v/>
      </c>
      <c r="C347" t="inlineStr">
        <is>
          <t>проценты, тело</t>
        </is>
      </c>
      <c r="D347">
        <f>B347-B346</f>
        <v/>
      </c>
      <c r="E347" s="11">
        <f>IF(YEAR(B346)=YEAR(B347),(B347-B346)/(DATE(YEAR(B346)+1,1,1)-DATE(YEAR(B346),1,1)),(DATE(YEAR(B346)+1,1,1)-B346)/(DATE(YEAR(B346)+1,1,1)-DATE(YEAR(B346),1,1))+(B347-DATE(YEAR(B347),1,1))/(DATE(YEAR(B347)+1,1,1)-DATE(YEAR(B347),1,1))+YEAR(B347)-YEAR(B346)-1)</f>
        <v/>
      </c>
      <c r="F347" s="8">
        <f>K346</f>
        <v/>
      </c>
      <c r="G347" s="7">
        <f>$B$10</f>
        <v/>
      </c>
      <c r="H347" s="8">
        <f>F347*G347*E347</f>
        <v/>
      </c>
      <c r="I347" s="8">
        <f>SUM(H347:H347)</f>
        <v/>
      </c>
      <c r="J347" s="8">
        <f>$B$7/$B$13</f>
        <v/>
      </c>
      <c r="K347" s="8">
        <f>F347-J347</f>
        <v/>
      </c>
    </row>
    <row r="348">
      <c r="A348" t="n">
        <v>352</v>
      </c>
      <c r="B348" s="10">
        <f>MIN(DATE(YEAR($E$3),MONTH($E$3)+A348*$E$4,MIN($E$5,DAY(EOMONTH(DATE(YEAR($E$3),MONTH($E$3)+A348*$E$4,1),0)))),$B$6)</f>
        <v/>
      </c>
      <c r="C348" t="inlineStr">
        <is>
          <t>проценты, тело</t>
        </is>
      </c>
      <c r="D348">
        <f>B348-B347</f>
        <v/>
      </c>
      <c r="E348" s="11">
        <f>IF(YEAR(B347)=YEAR(B348),(B348-B347)/(DATE(YEAR(B347)+1,1,1)-DATE(YEAR(B347),1,1)),(DATE(YEAR(B347)+1,1,1)-B347)/(DATE(YEAR(B347)+1,1,1)-DATE(YEAR(B347),1,1))+(B348-DATE(YEAR(B348),1,1))/(DATE(YEAR(B348)+1,1,1)-DATE(YEAR(B348),1,1))+YEAR(B348)-YEAR(B347)-1)</f>
        <v/>
      </c>
      <c r="F348" s="8">
        <f>K347</f>
        <v/>
      </c>
      <c r="G348" s="7">
        <f>$B$10</f>
        <v/>
      </c>
      <c r="H348" s="8">
        <f>F348*G348*E348</f>
        <v/>
      </c>
      <c r="I348" s="8">
        <f>SUM(H348:H348)</f>
        <v/>
      </c>
      <c r="J348" s="8">
        <f>$B$7/$B$13</f>
        <v/>
      </c>
      <c r="K348" s="8">
        <f>F348-J348</f>
        <v/>
      </c>
    </row>
    <row r="349">
      <c r="A349" t="n">
        <v>353</v>
      </c>
      <c r="B349" s="10">
        <f>MIN(DATE(YEAR($E$3),MONTH($E$3)+A349*$E$4,MIN($E$5,DAY(EOMONTH(DATE(YEAR($E$3),MONTH($E$3)+A349*$E$4,1),0)))),$B$6)</f>
        <v/>
      </c>
      <c r="C349" t="inlineStr">
        <is>
          <t>проценты, тело</t>
        </is>
      </c>
      <c r="D349">
        <f>B349-B348</f>
        <v/>
      </c>
      <c r="E349" s="11">
        <f>IF(YEAR(B348)=YEAR(B349),(B349-B348)/(DATE(YEAR(B348)+1,1,1)-DATE(YEAR(B348),1,1)),(DATE(YEAR(B348)+1,1,1)-B348)/(DATE(YEAR(B348)+1,1,1)-DATE(YEAR(B348),1,1))+(B349-DATE(YEAR(B349),1,1))/(DATE(YEAR(B349)+1,1,1)-DATE(YEAR(B349),1,1))+YEAR(B349)-YEAR(B348)-1)</f>
        <v/>
      </c>
      <c r="F349" s="8">
        <f>K348</f>
        <v/>
      </c>
      <c r="G349" s="7">
        <f>$B$10</f>
        <v/>
      </c>
      <c r="H349" s="8">
        <f>F349*G349*E349</f>
        <v/>
      </c>
      <c r="I349" s="8">
        <f>SUM(H349:H349)</f>
        <v/>
      </c>
      <c r="J349" s="8">
        <f>$B$7/$B$13</f>
        <v/>
      </c>
      <c r="K349" s="8">
        <f>F349-J349</f>
        <v/>
      </c>
    </row>
    <row r="350">
      <c r="A350" t="n">
        <v>354</v>
      </c>
      <c r="B350" s="10">
        <f>MIN(DATE(YEAR($E$3),MONTH($E$3)+A350*$E$4,MIN($E$5,DAY(EOMONTH(DATE(YEAR($E$3),MONTH($E$3)+A350*$E$4,1),0)))),$B$6)</f>
        <v/>
      </c>
      <c r="C350" t="inlineStr">
        <is>
          <t>проценты, тело</t>
        </is>
      </c>
      <c r="D350">
        <f>B350-B349</f>
        <v/>
      </c>
      <c r="E350" s="11">
        <f>IF(YEAR(B349)=YEAR(B350),(B350-B349)/(DATE(YEAR(B349)+1,1,1)-DATE(YEAR(B349),1,1)),(DATE(YEAR(B349)+1,1,1)-B349)/(DATE(YEAR(B349)+1,1,1)-DATE(YEAR(B349),1,1))+(B350-DATE(YEAR(B350),1,1))/(DATE(YEAR(B350)+1,1,1)-DATE(YEAR(B350),1,1))+YEAR(B350)-YEAR(B349)-1)</f>
        <v/>
      </c>
      <c r="F350" s="8">
        <f>K349</f>
        <v/>
      </c>
      <c r="G350" s="7">
        <f>$B$10</f>
        <v/>
      </c>
      <c r="H350" s="8">
        <f>F350*G350*E350</f>
        <v/>
      </c>
      <c r="I350" s="8">
        <f>SUM(H350:H350)</f>
        <v/>
      </c>
      <c r="J350" s="8">
        <f>$B$7/$B$13</f>
        <v/>
      </c>
      <c r="K350" s="8">
        <f>F350-J350</f>
        <v/>
      </c>
    </row>
    <row r="351">
      <c r="A351" t="n">
        <v>355</v>
      </c>
      <c r="B351" s="10">
        <f>MIN(DATE(YEAR($E$3),MONTH($E$3)+A351*$E$4,MIN($E$5,DAY(EOMONTH(DATE(YEAR($E$3),MONTH($E$3)+A351*$E$4,1),0)))),$B$6)</f>
        <v/>
      </c>
      <c r="C351" t="inlineStr">
        <is>
          <t>проценты, тело</t>
        </is>
      </c>
      <c r="D351">
        <f>B351-B350</f>
        <v/>
      </c>
      <c r="E351" s="11">
        <f>IF(YEAR(B350)=YEAR(B351),(B351-B350)/(DATE(YEAR(B350)+1,1,1)-DATE(YEAR(B350),1,1)),(DATE(YEAR(B350)+1,1,1)-B350)/(DATE(YEAR(B350)+1,1,1)-DATE(YEAR(B350),1,1))+(B351-DATE(YEAR(B351),1,1))/(DATE(YEAR(B351)+1,1,1)-DATE(YEAR(B351),1,1))+YEAR(B351)-YEAR(B350)-1)</f>
        <v/>
      </c>
      <c r="F351" s="8">
        <f>K350</f>
        <v/>
      </c>
      <c r="G351" s="7">
        <f>$B$10</f>
        <v/>
      </c>
      <c r="H351" s="8">
        <f>F351*G351*E351</f>
        <v/>
      </c>
      <c r="I351" s="8">
        <f>SUM(H351:H351)</f>
        <v/>
      </c>
      <c r="J351" s="8">
        <f>$B$7/$B$13</f>
        <v/>
      </c>
      <c r="K351" s="8">
        <f>F351-J351</f>
        <v/>
      </c>
    </row>
    <row r="352">
      <c r="A352" t="n">
        <v>356</v>
      </c>
      <c r="B352" s="10">
        <f>MIN(DATE(YEAR($E$3),MONTH($E$3)+A352*$E$4,MIN($E$5,DAY(EOMONTH(DATE(YEAR($E$3),MONTH($E$3)+A352*$E$4,1),0)))),$B$6)</f>
        <v/>
      </c>
      <c r="C352" t="inlineStr">
        <is>
          <t>проценты, тело</t>
        </is>
      </c>
      <c r="D352">
        <f>B352-B351</f>
        <v/>
      </c>
      <c r="E352" s="11">
        <f>IF(YEAR(B351)=YEAR(B352),(B352-B351)/(DATE(YEAR(B351)+1,1,1)-DATE(YEAR(B351),1,1)),(DATE(YEAR(B351)+1,1,1)-B351)/(DATE(YEAR(B351)+1,1,1)-DATE(YEAR(B351),1,1))+(B352-DATE(YEAR(B352),1,1))/(DATE(YEAR(B352)+1,1,1)-DATE(YEAR(B352),1,1))+YEAR(B352)-YEAR(B351)-1)</f>
        <v/>
      </c>
      <c r="F352" s="8">
        <f>K351</f>
        <v/>
      </c>
      <c r="G352" s="7">
        <f>$B$10</f>
        <v/>
      </c>
      <c r="H352" s="8">
        <f>F352*G352*E352</f>
        <v/>
      </c>
      <c r="I352" s="8">
        <f>SUM(H352:H352)</f>
        <v/>
      </c>
      <c r="J352" s="8">
        <f>$B$7/$B$13</f>
        <v/>
      </c>
      <c r="K352" s="8">
        <f>F352-J352</f>
        <v/>
      </c>
    </row>
    <row r="353">
      <c r="A353" t="n">
        <v>357</v>
      </c>
      <c r="B353" s="10">
        <f>MIN(DATE(YEAR($E$3),MONTH($E$3)+A353*$E$4,MIN($E$5,DAY(EOMONTH(DATE(YEAR($E$3),MONTH($E$3)+A353*$E$4,1),0)))),$B$6)</f>
        <v/>
      </c>
      <c r="C353" t="inlineStr">
        <is>
          <t>проценты, тело</t>
        </is>
      </c>
      <c r="D353">
        <f>B353-B352</f>
        <v/>
      </c>
      <c r="E353" s="11">
        <f>IF(YEAR(B352)=YEAR(B353),(B353-B352)/(DATE(YEAR(B352)+1,1,1)-DATE(YEAR(B352),1,1)),(DATE(YEAR(B352)+1,1,1)-B352)/(DATE(YEAR(B352)+1,1,1)-DATE(YEAR(B352),1,1))+(B353-DATE(YEAR(B353),1,1))/(DATE(YEAR(B353)+1,1,1)-DATE(YEAR(B353),1,1))+YEAR(B353)-YEAR(B352)-1)</f>
        <v/>
      </c>
      <c r="F353" s="8">
        <f>K352</f>
        <v/>
      </c>
      <c r="G353" s="7">
        <f>$B$10</f>
        <v/>
      </c>
      <c r="H353" s="8">
        <f>F353*G353*E353</f>
        <v/>
      </c>
      <c r="I353" s="8">
        <f>SUM(H353:H353)</f>
        <v/>
      </c>
      <c r="J353" s="8">
        <f>$B$7/$B$13</f>
        <v/>
      </c>
      <c r="K353" s="8">
        <f>F353-J353</f>
        <v/>
      </c>
    </row>
    <row r="354">
      <c r="A354" t="n">
        <v>358</v>
      </c>
      <c r="B354" s="10">
        <f>MIN(DATE(YEAR($E$3),MONTH($E$3)+A354*$E$4,MIN($E$5,DAY(EOMONTH(DATE(YEAR($E$3),MONTH($E$3)+A354*$E$4,1),0)))),$B$6)</f>
        <v/>
      </c>
      <c r="C354" t="inlineStr">
        <is>
          <t>проценты, тело</t>
        </is>
      </c>
      <c r="D354">
        <f>B354-B353</f>
        <v/>
      </c>
      <c r="E354" s="11">
        <f>IF(YEAR(B353)=YEAR(B354),(B354-B353)/(DATE(YEAR(B353)+1,1,1)-DATE(YEAR(B353),1,1)),(DATE(YEAR(B353)+1,1,1)-B353)/(DATE(YEAR(B353)+1,1,1)-DATE(YEAR(B353),1,1))+(B354-DATE(YEAR(B354),1,1))/(DATE(YEAR(B354)+1,1,1)-DATE(YEAR(B354),1,1))+YEAR(B354)-YEAR(B353)-1)</f>
        <v/>
      </c>
      <c r="F354" s="8">
        <f>K353</f>
        <v/>
      </c>
      <c r="G354" s="7">
        <f>$B$10</f>
        <v/>
      </c>
      <c r="H354" s="8">
        <f>F354*G354*E354</f>
        <v/>
      </c>
      <c r="I354" s="8">
        <f>SUM(H354:H354)</f>
        <v/>
      </c>
      <c r="J354" s="8">
        <f>$B$7/$B$13</f>
        <v/>
      </c>
      <c r="K354" s="8">
        <f>F354-J354</f>
        <v/>
      </c>
    </row>
    <row r="355">
      <c r="A355" t="n">
        <v>359</v>
      </c>
      <c r="B355" s="10">
        <f>MIN(DATE(YEAR($E$3),MONTH($E$3)+A355*$E$4,MIN($E$5,DAY(EOMONTH(DATE(YEAR($E$3),MONTH($E$3)+A355*$E$4,1),0)))),$B$6)</f>
        <v/>
      </c>
      <c r="C355" t="inlineStr">
        <is>
          <t>проценты, тело</t>
        </is>
      </c>
      <c r="D355">
        <f>B355-B354</f>
        <v/>
      </c>
      <c r="E355" s="11">
        <f>IF(YEAR(B354)=YEAR(B355),(B355-B354)/(DATE(YEAR(B354)+1,1,1)-DATE(YEAR(B354),1,1)),(DATE(YEAR(B354)+1,1,1)-B354)/(DATE(YEAR(B354)+1,1,1)-DATE(YEAR(B354),1,1))+(B355-DATE(YEAR(B355),1,1))/(DATE(YEAR(B355)+1,1,1)-DATE(YEAR(B355),1,1))+YEAR(B355)-YEAR(B354)-1)</f>
        <v/>
      </c>
      <c r="F355" s="8">
        <f>K354</f>
        <v/>
      </c>
      <c r="G355" s="7">
        <f>$B$10</f>
        <v/>
      </c>
      <c r="H355" s="8">
        <f>F355*G355*E355</f>
        <v/>
      </c>
      <c r="I355" s="8">
        <f>SUM(H355:H355)</f>
        <v/>
      </c>
      <c r="J355" s="8">
        <f>$B$7/$B$13</f>
        <v/>
      </c>
      <c r="K355" s="8">
        <f>F355-J355</f>
        <v/>
      </c>
    </row>
    <row r="356">
      <c r="B356" s="10">
        <f>$B$6</f>
        <v/>
      </c>
      <c r="C356" t="inlineStr">
        <is>
          <t>проценты, тело (закрытие)</t>
        </is>
      </c>
      <c r="D356">
        <f>B356-B355</f>
        <v/>
      </c>
      <c r="E356" s="11">
        <f>IF(YEAR(B355)=YEAR(B356),(B356-B355)/(DATE(YEAR(B355)+1,1,1)-DATE(YEAR(B355),1,1)),(DATE(YEAR(B355)+1,1,1)-B355)/(DATE(YEAR(B355)+1,1,1)-DATE(YEAR(B355),1,1))+(B356-DATE(YEAR(B356),1,1))/(DATE(YEAR(B356)+1,1,1)-DATE(YEAR(B356),1,1))+YEAR(B356)-YEAR(B355)-1)</f>
        <v/>
      </c>
      <c r="F356" s="8">
        <f>K355</f>
        <v/>
      </c>
      <c r="G356" s="7">
        <f>$B$10</f>
        <v/>
      </c>
      <c r="H356" s="8">
        <f>F356*G356*E356</f>
        <v/>
      </c>
      <c r="I356" s="8">
        <f>SUM(H356:H356)</f>
        <v/>
      </c>
      <c r="J356" s="8">
        <f>F356</f>
        <v/>
      </c>
      <c r="K356" s="8">
        <f>F356-J356</f>
        <v/>
      </c>
    </row>
    <row r="358">
      <c r="C358" s="2" t="inlineStr">
        <is>
          <t>Итого</t>
        </is>
      </c>
      <c r="I358" s="12">
        <f>SUM(I23:I356)</f>
        <v/>
      </c>
      <c r="J358" s="12">
        <f>SUM(J23:J356)</f>
        <v/>
      </c>
    </row>
    <row r="359">
      <c r="C359" t="inlineStr">
        <is>
          <t>Проверка: тело = B0</t>
        </is>
      </c>
      <c r="J359">
        <f>ROUND(J358-$B$7,2)</f>
        <v/>
      </c>
    </row>
    <row r="360">
      <c r="C360" t="inlineStr">
        <is>
          <t>Проверка: остаток после последнего = 0</t>
        </is>
      </c>
      <c r="K360">
        <f>K356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13" customWidth="1" min="5" max="5"/>
    <col width="17" customWidth="1" min="6" max="6"/>
    <col width="11" customWidth="1" min="7" max="7"/>
    <col width="16" customWidth="1" min="8" max="8"/>
    <col width="17" customWidth="1" min="9" max="9"/>
    <col width="16" customWidth="1" min="10" max="10"/>
    <col width="17" customWidth="1" min="11" max="11"/>
    <col width="11" customWidth="1" min="12" max="12"/>
    <col width="16" customWidth="1" min="13" max="13"/>
    <col width="16" customWidth="1" min="14" max="14"/>
  </cols>
  <sheetData>
    <row r="1">
      <c r="A1" s="1" t="inlineStr">
        <is>
          <t>Сделка 16: эталон с формулами (методика docs/METHODOLOGY.md)</t>
        </is>
      </c>
    </row>
    <row r="2">
      <c r="D2" s="2" t="inlineStr">
        <is>
          <t>Правила дат</t>
        </is>
      </c>
    </row>
    <row r="3">
      <c r="A3" t="inlineStr">
        <is>
          <t>Сделка</t>
        </is>
      </c>
      <c r="B3" s="3" t="n">
        <v>16</v>
      </c>
      <c r="D3" t="inlineStr">
        <is>
          <t>Проценты: начало</t>
        </is>
      </c>
      <c r="E3" s="4" t="n">
        <v>44158</v>
      </c>
    </row>
    <row r="4">
      <c r="A4" t="inlineStr">
        <is>
          <t>Тип погашения</t>
        </is>
      </c>
      <c r="B4" s="3" t="inlineStr">
        <is>
          <t>SIMPLE</t>
        </is>
      </c>
      <c r="D4" t="inlineStr">
        <is>
          <t>Проценты: период, мес.</t>
        </is>
      </c>
      <c r="E4" s="3" t="n">
        <v>1</v>
      </c>
    </row>
    <row r="5">
      <c r="A5" t="inlineStr">
        <is>
          <t>Дата расчёта T0</t>
        </is>
      </c>
      <c r="B5" s="4" t="n">
        <v>44804</v>
      </c>
      <c r="D5" t="inlineStr">
        <is>
          <t>Проценты: число месяца</t>
        </is>
      </c>
      <c r="E5" s="3" t="n">
        <v>7</v>
      </c>
    </row>
    <row r="6">
      <c r="A6" t="inlineStr">
        <is>
          <t>Дата погашения Tm</t>
        </is>
      </c>
      <c r="B6" s="4" t="n">
        <v>45046</v>
      </c>
      <c r="D6" s="2" t="inlineStr">
        <is>
          <t>Явный график тела</t>
        </is>
      </c>
    </row>
    <row r="7">
      <c r="A7" t="inlineStr">
        <is>
          <t>Остаток на T0, B0</t>
        </is>
      </c>
      <c r="B7" s="5" t="n">
        <v>1047077.3</v>
      </c>
      <c r="D7" s="4" t="n">
        <v>44926</v>
      </c>
      <c r="E7" s="5" t="n">
        <v>250000</v>
      </c>
    </row>
    <row r="8">
      <c r="A8" t="inlineStr">
        <is>
          <t>Конвенция</t>
        </is>
      </c>
      <c r="B8" s="3" t="inlineStr">
        <is>
          <t>ACT/ACT ISDA</t>
        </is>
      </c>
      <c r="D8" s="4" t="n">
        <v>44957</v>
      </c>
      <c r="E8" s="5" t="n">
        <v>250000</v>
      </c>
    </row>
    <row r="9">
      <c r="A9" t="inlineStr">
        <is>
          <t>Тип ставки</t>
        </is>
      </c>
      <c r="B9" s="3" t="inlineStr">
        <is>
          <t>FIXED</t>
        </is>
      </c>
      <c r="D9" s="4" t="n">
        <v>44985</v>
      </c>
      <c r="E9" s="5" t="n">
        <v>250000</v>
      </c>
    </row>
    <row r="10">
      <c r="A10" t="inlineStr">
        <is>
          <t>interest_rate (ставка / маржа)</t>
        </is>
      </c>
      <c r="B10" s="6" t="n">
        <v>0.061</v>
      </c>
      <c r="D10" s="4" t="n">
        <v>45046</v>
      </c>
      <c r="E10" s="5" t="n">
        <v>297077.3</v>
      </c>
    </row>
    <row r="11">
      <c r="A11" s="2" t="inlineStr">
        <is>
          <t>Ставка клиента на T0 (для аннуитета)</t>
        </is>
      </c>
      <c r="B11" s="7">
        <f>$B$10</f>
        <v/>
      </c>
    </row>
    <row r="13">
      <c r="A13" s="2" t="inlineStr">
        <is>
          <t>Число будущих дат тела n</t>
        </is>
      </c>
      <c r="B13">
        <f>COUNTIF(C23:C35,"*тело*")</f>
        <v/>
      </c>
    </row>
    <row r="21">
      <c r="A21" s="9" t="inlineStr">
        <is>
          <t>k</t>
        </is>
      </c>
      <c r="B21" s="9" t="inlineStr">
        <is>
          <t>Дата</t>
        </is>
      </c>
      <c r="C21" s="9" t="inlineStr">
        <is>
          <t>Что происходит</t>
        </is>
      </c>
      <c r="D21" s="9" t="inlineStr">
        <is>
          <t>Дней</t>
        </is>
      </c>
      <c r="E21" s="9" t="inlineStr">
        <is>
          <t>Доля года τ</t>
        </is>
      </c>
      <c r="F21" s="9" t="inlineStr">
        <is>
          <t>Остаток на отрезке B</t>
        </is>
      </c>
      <c r="G21" s="9" t="inlineStr">
        <is>
          <t>Ставка r на отрезке</t>
        </is>
      </c>
      <c r="H21" s="9" t="inlineStr">
        <is>
          <t>Начислено B·r·τ</t>
        </is>
      </c>
      <c r="I21" s="9" t="inlineStr">
        <is>
          <t>Проценты к выплате</t>
        </is>
      </c>
      <c r="J21" s="9" t="inlineStr">
        <is>
          <t>Тело</t>
        </is>
      </c>
      <c r="K21" s="9" t="inlineStr">
        <is>
          <t>Остаток после</t>
        </is>
      </c>
      <c r="L21" s="9" t="inlineStr">
        <is>
          <t>Ставка субсидии на отрезке</t>
        </is>
      </c>
      <c r="M21" s="9" t="inlineStr">
        <is>
          <t>Субсидия начислено</t>
        </is>
      </c>
      <c r="N21" s="9" t="inlineStr">
        <is>
          <t>Субсидия к выплате</t>
        </is>
      </c>
    </row>
    <row r="22">
      <c r="A22" t="n">
        <v>21</v>
      </c>
      <c r="B22" s="10">
        <f>MIN(DATE(YEAR($E$3),MONTH($E$3)+A22*$E$4,MIN($E$5,DAY(EOMONTH(DATE(YEAR($E$3),MONTH($E$3)+A22*$E$4,1),0)))),$B$6)</f>
        <v/>
      </c>
      <c r="C22" t="inlineStr">
        <is>
          <t>начало периода начисления</t>
        </is>
      </c>
      <c r="K22" s="8">
        <f>$B$7</f>
        <v/>
      </c>
    </row>
    <row r="23">
      <c r="A23" t="n">
        <v>22</v>
      </c>
      <c r="B23" s="10">
        <f>MIN(DATE(YEAR($E$3),MONTH($E$3)+A23*$E$4,MIN($E$5,DAY(EOMONTH(DATE(YEAR($E$3),MONTH($E$3)+A23*$E$4,1),0)))),$B$6)</f>
        <v/>
      </c>
      <c r="C23" t="inlineStr">
        <is>
          <t>проценты</t>
        </is>
      </c>
      <c r="D23">
        <f>B23-B22</f>
        <v/>
      </c>
      <c r="E23" s="11">
        <f>IF(YEAR(B22)=YEAR(B23),(B23-B22)/(DATE(YEAR(B22)+1,1,1)-DATE(YEAR(B22),1,1)),(DATE(YEAR(B22)+1,1,1)-B22)/(DATE(YEAR(B22)+1,1,1)-DATE(YEAR(B22),1,1))+(B23-DATE(YEAR(B23),1,1))/(DATE(YEAR(B23)+1,1,1)-DATE(YEAR(B23),1,1))+YEAR(B23)-YEAR(B22)-1)</f>
        <v/>
      </c>
      <c r="F23" s="8">
        <f>K22</f>
        <v/>
      </c>
      <c r="G23" s="7">
        <f>$B$10</f>
        <v/>
      </c>
      <c r="H23" s="8">
        <f>F23*G23*E23</f>
        <v/>
      </c>
      <c r="I23" s="8">
        <f>SUM(H23:H23)</f>
        <v/>
      </c>
      <c r="J23" s="8">
        <f>0</f>
        <v/>
      </c>
      <c r="K23" s="8">
        <f>F23-J23</f>
        <v/>
      </c>
    </row>
    <row r="24">
      <c r="A24" t="n">
        <v>23</v>
      </c>
      <c r="B24" s="10">
        <f>MIN(DATE(YEAR($E$3),MONTH($E$3)+A24*$E$4,MIN($E$5,DAY(EOMONTH(DATE(YEAR($E$3),MONTH($E$3)+A24*$E$4,1),0)))),$B$6)</f>
        <v/>
      </c>
      <c r="C24" t="inlineStr">
        <is>
          <t>проценты</t>
        </is>
      </c>
      <c r="D24">
        <f>B24-B23</f>
        <v/>
      </c>
      <c r="E24" s="11">
        <f>IF(YEAR(B23)=YEAR(B24),(B24-B23)/(DATE(YEAR(B23)+1,1,1)-DATE(YEAR(B23),1,1)),(DATE(YEAR(B23)+1,1,1)-B23)/(DATE(YEAR(B23)+1,1,1)-DATE(YEAR(B23),1,1))+(B24-DATE(YEAR(B24),1,1))/(DATE(YEAR(B24)+1,1,1)-DATE(YEAR(B24),1,1))+YEAR(B24)-YEAR(B23)-1)</f>
        <v/>
      </c>
      <c r="F24" s="8">
        <f>K23</f>
        <v/>
      </c>
      <c r="G24" s="7">
        <f>$B$10</f>
        <v/>
      </c>
      <c r="H24" s="8">
        <f>F24*G24*E24</f>
        <v/>
      </c>
      <c r="I24" s="8">
        <f>SUM(H24:H24)</f>
        <v/>
      </c>
      <c r="J24" s="8">
        <f>0</f>
        <v/>
      </c>
      <c r="K24" s="8">
        <f>F24-J24</f>
        <v/>
      </c>
    </row>
    <row r="25">
      <c r="A25" t="n">
        <v>24</v>
      </c>
      <c r="B25" s="10">
        <f>MIN(DATE(YEAR($E$3),MONTH($E$3)+A25*$E$4,MIN($E$5,DAY(EOMONTH(DATE(YEAR($E$3),MONTH($E$3)+A25*$E$4,1),0)))),$B$6)</f>
        <v/>
      </c>
      <c r="C25" t="inlineStr">
        <is>
          <t>проценты</t>
        </is>
      </c>
      <c r="D25">
        <f>B25-B24</f>
        <v/>
      </c>
      <c r="E25" s="11">
        <f>IF(YEAR(B24)=YEAR(B25),(B25-B24)/(DATE(YEAR(B24)+1,1,1)-DATE(YEAR(B24),1,1)),(DATE(YEAR(B24)+1,1,1)-B24)/(DATE(YEAR(B24)+1,1,1)-DATE(YEAR(B24),1,1))+(B25-DATE(YEAR(B25),1,1))/(DATE(YEAR(B25)+1,1,1)-DATE(YEAR(B25),1,1))+YEAR(B25)-YEAR(B24)-1)</f>
        <v/>
      </c>
      <c r="F25" s="8">
        <f>K24</f>
        <v/>
      </c>
      <c r="G25" s="7">
        <f>$B$10</f>
        <v/>
      </c>
      <c r="H25" s="8">
        <f>F25*G25*E25</f>
        <v/>
      </c>
      <c r="I25" s="8">
        <f>SUM(H25:H25)</f>
        <v/>
      </c>
      <c r="J25" s="8">
        <f>0</f>
        <v/>
      </c>
      <c r="K25" s="8">
        <f>F25-J25</f>
        <v/>
      </c>
    </row>
    <row r="26">
      <c r="A26" t="n">
        <v>25</v>
      </c>
      <c r="B26" s="10">
        <f>MIN(DATE(YEAR($E$3),MONTH($E$3)+A26*$E$4,MIN($E$5,DAY(EOMONTH(DATE(YEAR($E$3),MONTH($E$3)+A26*$E$4,1),0)))),$B$6)</f>
        <v/>
      </c>
      <c r="C26" t="inlineStr">
        <is>
          <t>проценты</t>
        </is>
      </c>
      <c r="D26">
        <f>B26-B25</f>
        <v/>
      </c>
      <c r="E26" s="11">
        <f>IF(YEAR(B25)=YEAR(B26),(B26-B25)/(DATE(YEAR(B25)+1,1,1)-DATE(YEAR(B25),1,1)),(DATE(YEAR(B25)+1,1,1)-B25)/(DATE(YEAR(B25)+1,1,1)-DATE(YEAR(B25),1,1))+(B26-DATE(YEAR(B26),1,1))/(DATE(YEAR(B26)+1,1,1)-DATE(YEAR(B26),1,1))+YEAR(B26)-YEAR(B25)-1)</f>
        <v/>
      </c>
      <c r="F26" s="8">
        <f>K25</f>
        <v/>
      </c>
      <c r="G26" s="7">
        <f>$B$10</f>
        <v/>
      </c>
      <c r="H26" s="8">
        <f>F26*G26*E26</f>
        <v/>
      </c>
      <c r="I26" s="8">
        <f>SUM(H26:H26)</f>
        <v/>
      </c>
      <c r="J26" s="8">
        <f>0</f>
        <v/>
      </c>
      <c r="K26" s="8">
        <f>F26-J26</f>
        <v/>
      </c>
    </row>
    <row r="27">
      <c r="B27" s="10">
        <f>$D$7</f>
        <v/>
      </c>
      <c r="C27" t="inlineStr">
        <is>
          <t>тело</t>
        </is>
      </c>
      <c r="D27">
        <f>B27-B26</f>
        <v/>
      </c>
      <c r="E27" s="11">
        <f>IF(YEAR(B26)=YEAR(B27),(B27-B26)/(DATE(YEAR(B26)+1,1,1)-DATE(YEAR(B26),1,1)),(DATE(YEAR(B26)+1,1,1)-B26)/(DATE(YEAR(B26)+1,1,1)-DATE(YEAR(B26),1,1))+(B27-DATE(YEAR(B27),1,1))/(DATE(YEAR(B27)+1,1,1)-DATE(YEAR(B27),1,1))+YEAR(B27)-YEAR(B26)-1)</f>
        <v/>
      </c>
      <c r="F27" s="8">
        <f>K26</f>
        <v/>
      </c>
      <c r="G27" s="7">
        <f>$B$10</f>
        <v/>
      </c>
      <c r="H27" s="8">
        <f>F27*G27*E27</f>
        <v/>
      </c>
      <c r="I27" s="8">
        <f>0</f>
        <v/>
      </c>
      <c r="J27" s="8">
        <f>MIN($E$7,F27)</f>
        <v/>
      </c>
      <c r="K27" s="8">
        <f>F27-J27</f>
        <v/>
      </c>
    </row>
    <row r="28">
      <c r="A28" t="n">
        <v>26</v>
      </c>
      <c r="B28" s="10">
        <f>MIN(DATE(YEAR($E$3),MONTH($E$3)+A28*$E$4,MIN($E$5,DAY(EOMONTH(DATE(YEAR($E$3),MONTH($E$3)+A28*$E$4,1),0)))),$B$6)</f>
        <v/>
      </c>
      <c r="C28" t="inlineStr">
        <is>
          <t>проценты</t>
        </is>
      </c>
      <c r="D28">
        <f>B28-B27</f>
        <v/>
      </c>
      <c r="E28" s="11">
        <f>IF(YEAR(B27)=YEAR(B28),(B28-B27)/(DATE(YEAR(B27)+1,1,1)-DATE(YEAR(B27),1,1)),(DATE(YEAR(B27)+1,1,1)-B27)/(DATE(YEAR(B27)+1,1,1)-DATE(YEAR(B27),1,1))+(B28-DATE(YEAR(B28),1,1))/(DATE(YEAR(B28)+1,1,1)-DATE(YEAR(B28),1,1))+YEAR(B28)-YEAR(B27)-1)</f>
        <v/>
      </c>
      <c r="F28" s="8">
        <f>K27</f>
        <v/>
      </c>
      <c r="G28" s="7">
        <f>$B$10</f>
        <v/>
      </c>
      <c r="H28" s="8">
        <f>F28*G28*E28</f>
        <v/>
      </c>
      <c r="I28" s="8">
        <f>SUM(H27:H28)</f>
        <v/>
      </c>
      <c r="J28" s="8">
        <f>0</f>
        <v/>
      </c>
      <c r="K28" s="8">
        <f>F28-J28</f>
        <v/>
      </c>
    </row>
    <row r="29">
      <c r="B29" s="10">
        <f>$D$8</f>
        <v/>
      </c>
      <c r="C29" t="inlineStr">
        <is>
          <t>тело</t>
        </is>
      </c>
      <c r="D29">
        <f>B29-B28</f>
        <v/>
      </c>
      <c r="E29" s="11">
        <f>IF(YEAR(B28)=YEAR(B29),(B29-B28)/(DATE(YEAR(B28)+1,1,1)-DATE(YEAR(B28),1,1)),(DATE(YEAR(B28)+1,1,1)-B28)/(DATE(YEAR(B28)+1,1,1)-DATE(YEAR(B28),1,1))+(B29-DATE(YEAR(B29),1,1))/(DATE(YEAR(B29)+1,1,1)-DATE(YEAR(B29),1,1))+YEAR(B29)-YEAR(B28)-1)</f>
        <v/>
      </c>
      <c r="F29" s="8">
        <f>K28</f>
        <v/>
      </c>
      <c r="G29" s="7">
        <f>$B$10</f>
        <v/>
      </c>
      <c r="H29" s="8">
        <f>F29*G29*E29</f>
        <v/>
      </c>
      <c r="I29" s="8">
        <f>0</f>
        <v/>
      </c>
      <c r="J29" s="8">
        <f>MIN($E$8,F29)</f>
        <v/>
      </c>
      <c r="K29" s="8">
        <f>F29-J29</f>
        <v/>
      </c>
    </row>
    <row r="30">
      <c r="A30" t="n">
        <v>27</v>
      </c>
      <c r="B30" s="10">
        <f>MIN(DATE(YEAR($E$3),MONTH($E$3)+A30*$E$4,MIN($E$5,DAY(EOMONTH(DATE(YEAR($E$3),MONTH($E$3)+A30*$E$4,1),0)))),$B$6)</f>
        <v/>
      </c>
      <c r="C30" t="inlineStr">
        <is>
          <t>проценты</t>
        </is>
      </c>
      <c r="D30">
        <f>B30-B29</f>
        <v/>
      </c>
      <c r="E30" s="11">
        <f>IF(YEAR(B29)=YEAR(B30),(B30-B29)/(DATE(YEAR(B29)+1,1,1)-DATE(YEAR(B29),1,1)),(DATE(YEAR(B29)+1,1,1)-B29)/(DATE(YEAR(B29)+1,1,1)-DATE(YEAR(B29),1,1))+(B30-DATE(YEAR(B30),1,1))/(DATE(YEAR(B30)+1,1,1)-DATE(YEAR(B30),1,1))+YEAR(B30)-YEAR(B29)-1)</f>
        <v/>
      </c>
      <c r="F30" s="8">
        <f>K29</f>
        <v/>
      </c>
      <c r="G30" s="7">
        <f>$B$10</f>
        <v/>
      </c>
      <c r="H30" s="8">
        <f>F30*G30*E30</f>
        <v/>
      </c>
      <c r="I30" s="8">
        <f>SUM(H29:H30)</f>
        <v/>
      </c>
      <c r="J30" s="8">
        <f>0</f>
        <v/>
      </c>
      <c r="K30" s="8">
        <f>F30-J30</f>
        <v/>
      </c>
    </row>
    <row r="31">
      <c r="B31" s="10">
        <f>$D$9</f>
        <v/>
      </c>
      <c r="C31" t="inlineStr">
        <is>
          <t>тело</t>
        </is>
      </c>
      <c r="D31">
        <f>B31-B30</f>
        <v/>
      </c>
      <c r="E31" s="11">
        <f>IF(YEAR(B30)=YEAR(B31),(B31-B30)/(DATE(YEAR(B30)+1,1,1)-DATE(YEAR(B30),1,1)),(DATE(YEAR(B30)+1,1,1)-B30)/(DATE(YEAR(B30)+1,1,1)-DATE(YEAR(B30),1,1))+(B31-DATE(YEAR(B31),1,1))/(DATE(YEAR(B31)+1,1,1)-DATE(YEAR(B31),1,1))+YEAR(B31)-YEAR(B30)-1)</f>
        <v/>
      </c>
      <c r="F31" s="8">
        <f>K30</f>
        <v/>
      </c>
      <c r="G31" s="7">
        <f>$B$10</f>
        <v/>
      </c>
      <c r="H31" s="8">
        <f>F31*G31*E31</f>
        <v/>
      </c>
      <c r="I31" s="8">
        <f>0</f>
        <v/>
      </c>
      <c r="J31" s="8">
        <f>MIN($E$9,F31)</f>
        <v/>
      </c>
      <c r="K31" s="8">
        <f>F31-J31</f>
        <v/>
      </c>
    </row>
    <row r="32">
      <c r="A32" t="n">
        <v>28</v>
      </c>
      <c r="B32" s="10">
        <f>MIN(DATE(YEAR($E$3),MONTH($E$3)+A32*$E$4,MIN($E$5,DAY(EOMONTH(DATE(YEAR($E$3),MONTH($E$3)+A32*$E$4,1),0)))),$B$6)</f>
        <v/>
      </c>
      <c r="C32" t="inlineStr">
        <is>
          <t>проценты</t>
        </is>
      </c>
      <c r="D32">
        <f>B32-B31</f>
        <v/>
      </c>
      <c r="E32" s="11">
        <f>IF(YEAR(B31)=YEAR(B32),(B32-B31)/(DATE(YEAR(B31)+1,1,1)-DATE(YEAR(B31),1,1)),(DATE(YEAR(B31)+1,1,1)-B31)/(DATE(YEAR(B31)+1,1,1)-DATE(YEAR(B31),1,1))+(B32-DATE(YEAR(B32),1,1))/(DATE(YEAR(B32)+1,1,1)-DATE(YEAR(B32),1,1))+YEAR(B32)-YEAR(B31)-1)</f>
        <v/>
      </c>
      <c r="F32" s="8">
        <f>K31</f>
        <v/>
      </c>
      <c r="G32" s="7">
        <f>$B$10</f>
        <v/>
      </c>
      <c r="H32" s="8">
        <f>F32*G32*E32</f>
        <v/>
      </c>
      <c r="I32" s="8">
        <f>SUM(H31:H32)</f>
        <v/>
      </c>
      <c r="J32" s="8">
        <f>0</f>
        <v/>
      </c>
      <c r="K32" s="8">
        <f>F32-J32</f>
        <v/>
      </c>
    </row>
    <row r="33">
      <c r="A33" t="n">
        <v>29</v>
      </c>
      <c r="B33" s="10">
        <f>MIN(DATE(YEAR($E$3),MONTH($E$3)+A33*$E$4,MIN($E$5,DAY(EOMONTH(DATE(YEAR($E$3),MONTH($E$3)+A33*$E$4,1),0)))),$B$6)</f>
        <v/>
      </c>
      <c r="C33" t="inlineStr">
        <is>
          <t>проценты</t>
        </is>
      </c>
      <c r="D33">
        <f>B33-B32</f>
        <v/>
      </c>
      <c r="E33" s="11">
        <f>IF(YEAR(B32)=YEAR(B33),(B33-B32)/(DATE(YEAR(B32)+1,1,1)-DATE(YEAR(B32),1,1)),(DATE(YEAR(B32)+1,1,1)-B32)/(DATE(YEAR(B32)+1,1,1)-DATE(YEAR(B32),1,1))+(B33-DATE(YEAR(B33),1,1))/(DATE(YEAR(B33)+1,1,1)-DATE(YEAR(B33),1,1))+YEAR(B33)-YEAR(B32)-1)</f>
        <v/>
      </c>
      <c r="F33" s="8">
        <f>K32</f>
        <v/>
      </c>
      <c r="G33" s="7">
        <f>$B$10</f>
        <v/>
      </c>
      <c r="H33" s="8">
        <f>F33*G33*E33</f>
        <v/>
      </c>
      <c r="I33" s="8">
        <f>SUM(H33:H33)</f>
        <v/>
      </c>
      <c r="J33" s="8">
        <f>0</f>
        <v/>
      </c>
      <c r="K33" s="8">
        <f>F33-J33</f>
        <v/>
      </c>
    </row>
    <row r="34">
      <c r="B34" s="10">
        <f>$B$6</f>
        <v/>
      </c>
      <c r="C34" t="inlineStr">
        <is>
          <t>проценты, тело (закрытие)</t>
        </is>
      </c>
      <c r="D34">
        <f>B34-B33</f>
        <v/>
      </c>
      <c r="E34" s="11">
        <f>IF(YEAR(B33)=YEAR(B34),(B34-B33)/(DATE(YEAR(B33)+1,1,1)-DATE(YEAR(B33),1,1)),(DATE(YEAR(B33)+1,1,1)-B33)/(DATE(YEAR(B33)+1,1,1)-DATE(YEAR(B33),1,1))+(B34-DATE(YEAR(B34),1,1))/(DATE(YEAR(B34)+1,1,1)-DATE(YEAR(B34),1,1))+YEAR(B34)-YEAR(B33)-1)</f>
        <v/>
      </c>
      <c r="F34" s="8">
        <f>K33</f>
        <v/>
      </c>
      <c r="G34" s="7">
        <f>$B$10</f>
        <v/>
      </c>
      <c r="H34" s="8">
        <f>F34*G34*E34</f>
        <v/>
      </c>
      <c r="I34" s="8">
        <f>SUM(H34:H34)</f>
        <v/>
      </c>
      <c r="J34" s="8">
        <f>F34</f>
        <v/>
      </c>
      <c r="K34" s="8">
        <f>F34-J34</f>
        <v/>
      </c>
    </row>
    <row r="36">
      <c r="C36" s="2" t="inlineStr">
        <is>
          <t>Итого</t>
        </is>
      </c>
      <c r="I36" s="12">
        <f>SUM(I23:I34)</f>
        <v/>
      </c>
      <c r="J36" s="12">
        <f>SUM(J23:J34)</f>
        <v/>
      </c>
    </row>
    <row r="37">
      <c r="C37" t="inlineStr">
        <is>
          <t>Проверка: тело = B0</t>
        </is>
      </c>
      <c r="J37">
        <f>ROUND(J36-$B$7,2)</f>
        <v/>
      </c>
    </row>
    <row r="38">
      <c r="C38" t="inlineStr">
        <is>
          <t>Проверка: остаток после последнего = 0</t>
        </is>
      </c>
      <c r="K38">
        <f>K34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13" customWidth="1" min="5" max="5"/>
    <col width="17" customWidth="1" min="6" max="6"/>
    <col width="11" customWidth="1" min="7" max="7"/>
    <col width="16" customWidth="1" min="8" max="8"/>
    <col width="17" customWidth="1" min="9" max="9"/>
    <col width="16" customWidth="1" min="10" max="10"/>
    <col width="17" customWidth="1" min="11" max="11"/>
    <col width="11" customWidth="1" min="12" max="12"/>
    <col width="16" customWidth="1" min="13" max="13"/>
    <col width="16" customWidth="1" min="14" max="14"/>
  </cols>
  <sheetData>
    <row r="1">
      <c r="A1" s="1" t="inlineStr">
        <is>
          <t>Сделка 22: эталон с формулами (методика docs/METHODOLOGY.md)</t>
        </is>
      </c>
    </row>
    <row r="2">
      <c r="D2" s="2" t="inlineStr">
        <is>
          <t>Правила дат</t>
        </is>
      </c>
    </row>
    <row r="3">
      <c r="A3" t="inlineStr">
        <is>
          <t>Сделка</t>
        </is>
      </c>
      <c r="B3" s="3" t="n">
        <v>22</v>
      </c>
      <c r="D3" t="inlineStr">
        <is>
          <t>Проценты: начало</t>
        </is>
      </c>
      <c r="E3" s="4" t="n">
        <v>44581</v>
      </c>
    </row>
    <row r="4">
      <c r="A4" t="inlineStr">
        <is>
          <t>Тип погашения</t>
        </is>
      </c>
      <c r="B4" s="3" t="inlineStr">
        <is>
          <t>RGM</t>
        </is>
      </c>
      <c r="D4" t="inlineStr">
        <is>
          <t>Проценты: период, мес.</t>
        </is>
      </c>
      <c r="E4" s="3" t="n">
        <v>1</v>
      </c>
    </row>
    <row r="5">
      <c r="A5" t="inlineStr">
        <is>
          <t>Дата расчёта T0</t>
        </is>
      </c>
      <c r="B5" s="4" t="n">
        <v>44804</v>
      </c>
      <c r="D5" t="inlineStr">
        <is>
          <t>Проценты: число месяца</t>
        </is>
      </c>
      <c r="E5" s="3" t="n">
        <v>10</v>
      </c>
    </row>
    <row r="6">
      <c r="A6" t="inlineStr">
        <is>
          <t>Дата погашения Tm</t>
        </is>
      </c>
      <c r="B6" s="4" t="n">
        <v>45046</v>
      </c>
      <c r="D6" t="inlineStr">
        <is>
          <t>Тело: начало</t>
        </is>
      </c>
      <c r="E6" s="4" t="n">
        <v>44581</v>
      </c>
    </row>
    <row r="7">
      <c r="A7" t="inlineStr">
        <is>
          <t>Остаток на T0, B0</t>
        </is>
      </c>
      <c r="B7" s="5" t="n">
        <v>1000000</v>
      </c>
      <c r="D7" t="inlineStr">
        <is>
          <t>Тело: период, мес.</t>
        </is>
      </c>
      <c r="E7" s="3" t="n">
        <v>1</v>
      </c>
    </row>
    <row r="8">
      <c r="A8" t="inlineStr">
        <is>
          <t>Конвенция</t>
        </is>
      </c>
      <c r="B8" s="3" t="inlineStr">
        <is>
          <t>ACT/ACT ISDA</t>
        </is>
      </c>
      <c r="D8" t="inlineStr">
        <is>
          <t>Тело: число месяца</t>
        </is>
      </c>
      <c r="E8" s="3" t="n">
        <v>20</v>
      </c>
    </row>
    <row r="9">
      <c r="A9" t="inlineStr">
        <is>
          <t>Тип ставки</t>
        </is>
      </c>
      <c r="B9" s="3" t="inlineStr">
        <is>
          <t>FLOAT</t>
        </is>
      </c>
      <c r="D9" t="inlineStr">
        <is>
          <t>Пересмотр: начало</t>
        </is>
      </c>
      <c r="E9" s="4" t="n">
        <v>44581</v>
      </c>
    </row>
    <row r="10">
      <c r="A10" t="inlineStr">
        <is>
          <t>interest_rate (ставка / маржа)</t>
        </is>
      </c>
      <c r="B10" s="6" t="n">
        <v>0.11</v>
      </c>
      <c r="D10" t="inlineStr">
        <is>
          <t>Пересмотр: период, мес.</t>
        </is>
      </c>
      <c r="E10" s="3" t="n">
        <v>1</v>
      </c>
    </row>
    <row r="11">
      <c r="A11" t="inlineStr">
        <is>
          <t>floor</t>
        </is>
      </c>
      <c r="B11" s="6" t="n">
        <v>0</v>
      </c>
      <c r="D11" t="inlineStr">
        <is>
          <t>Пересмотр: число месяца</t>
        </is>
      </c>
      <c r="E11" s="3" t="n">
        <v>15</v>
      </c>
    </row>
    <row r="12">
      <c r="A12" t="inlineStr">
        <is>
          <t>cap</t>
        </is>
      </c>
      <c r="B12" s="6" t="n">
        <v>1</v>
      </c>
    </row>
    <row r="13">
      <c r="A13" t="inlineStr">
        <is>
          <t>КС ЦБ на 15.07.2022 (фиксинг)</t>
        </is>
      </c>
      <c r="B13" s="6" t="n">
        <v>0.095</v>
      </c>
    </row>
    <row r="14">
      <c r="A14" t="inlineStr">
        <is>
          <t>КС ЦБ на 15.08.2022 (фиксинг)</t>
        </is>
      </c>
      <c r="B14" s="6" t="n">
        <v>0.08</v>
      </c>
    </row>
    <row r="15">
      <c r="A15" t="inlineStr">
        <is>
          <t>КС ЦБ: прогноз после T0 (H3: значение на T0, сдвиг 0)</t>
        </is>
      </c>
      <c r="B15" s="6" t="n">
        <v>0.08</v>
      </c>
    </row>
    <row r="16">
      <c r="A16" s="2" t="inlineStr">
        <is>
          <t>Ставка клиента на T0 (для аннуитета)</t>
        </is>
      </c>
      <c r="B16" s="7">
        <f>MIN($B$12,MAX($B$11,$B$14+$B$10))</f>
        <v/>
      </c>
    </row>
    <row r="18">
      <c r="A18" s="2" t="inlineStr">
        <is>
          <t>Число будущих дат тела n</t>
        </is>
      </c>
      <c r="B18">
        <f>COUNTIF(C23:C41,"*тело*")</f>
        <v/>
      </c>
    </row>
    <row r="21">
      <c r="A21" s="9" t="inlineStr">
        <is>
          <t>k</t>
        </is>
      </c>
      <c r="B21" s="9" t="inlineStr">
        <is>
          <t>Дата</t>
        </is>
      </c>
      <c r="C21" s="9" t="inlineStr">
        <is>
          <t>Что происходит</t>
        </is>
      </c>
      <c r="D21" s="9" t="inlineStr">
        <is>
          <t>Дней</t>
        </is>
      </c>
      <c r="E21" s="9" t="inlineStr">
        <is>
          <t>Доля года τ</t>
        </is>
      </c>
      <c r="F21" s="9" t="inlineStr">
        <is>
          <t>Остаток на отрезке B</t>
        </is>
      </c>
      <c r="G21" s="9" t="inlineStr">
        <is>
          <t>Ставка r на отрезке</t>
        </is>
      </c>
      <c r="H21" s="9" t="inlineStr">
        <is>
          <t>Начислено B·r·τ</t>
        </is>
      </c>
      <c r="I21" s="9" t="inlineStr">
        <is>
          <t>Проценты к выплате</t>
        </is>
      </c>
      <c r="J21" s="9" t="inlineStr">
        <is>
          <t>Тело</t>
        </is>
      </c>
      <c r="K21" s="9" t="inlineStr">
        <is>
          <t>Остаток после</t>
        </is>
      </c>
      <c r="L21" s="9" t="inlineStr">
        <is>
          <t>Ставка субсидии на отрезке</t>
        </is>
      </c>
      <c r="M21" s="9" t="inlineStr">
        <is>
          <t>Субсидия начислено</t>
        </is>
      </c>
      <c r="N21" s="9" t="inlineStr">
        <is>
          <t>Субсидия к выплате</t>
        </is>
      </c>
    </row>
    <row r="22">
      <c r="A22" t="n">
        <v>7</v>
      </c>
      <c r="B22" s="10">
        <f>MIN(DATE(YEAR($E$3),MONTH($E$3)+A22*$E$4,MIN($E$5,DAY(EOMONTH(DATE(YEAR($E$3),MONTH($E$3)+A22*$E$4,1),0)))),$B$6)</f>
        <v/>
      </c>
      <c r="C22" t="inlineStr">
        <is>
          <t>начало периода начисления</t>
        </is>
      </c>
      <c r="K22" s="8">
        <f>$B$7</f>
        <v/>
      </c>
    </row>
    <row r="23">
      <c r="A23" t="n">
        <v>7</v>
      </c>
      <c r="B23" s="10">
        <f>MIN(DATE(YEAR($E$9),MONTH($E$9)+A23*$E$10,MIN($E$11,DAY(EOMONTH(DATE(YEAR($E$9),MONTH($E$9)+A23*$E$10,1),0)))),$B$6)</f>
        <v/>
      </c>
      <c r="C23" t="inlineStr">
        <is>
          <t>пересмотр ставки</t>
        </is>
      </c>
      <c r="D23">
        <f>B23-B22</f>
        <v/>
      </c>
      <c r="E23" s="11">
        <f>IF(YEAR(B22)=YEAR(B23),(B23-B22)/(DATE(YEAR(B22)+1,1,1)-DATE(YEAR(B22),1,1)),(DATE(YEAR(B22)+1,1,1)-B22)/(DATE(YEAR(B22)+1,1,1)-DATE(YEAR(B22),1,1))+(B23-DATE(YEAR(B23),1,1))/(DATE(YEAR(B23)+1,1,1)-DATE(YEAR(B23),1,1))+YEAR(B23)-YEAR(B22)-1)</f>
        <v/>
      </c>
      <c r="F23" s="8">
        <f>K22</f>
        <v/>
      </c>
      <c r="G23" s="7">
        <f>MIN($B$12,MAX($B$11,$B$13+$B$10))</f>
        <v/>
      </c>
      <c r="H23" s="8">
        <f>F23*G23*E23</f>
        <v/>
      </c>
      <c r="I23" s="8">
        <f>0</f>
        <v/>
      </c>
      <c r="J23" s="8">
        <f>0</f>
        <v/>
      </c>
      <c r="K23" s="8">
        <f>F23-J23</f>
        <v/>
      </c>
    </row>
    <row r="24">
      <c r="A24" t="n">
        <v>8</v>
      </c>
      <c r="B24" s="10">
        <f>MIN(DATE(YEAR($E$3),MONTH($E$3)+A24*$E$4,MIN($E$5,DAY(EOMONTH(DATE(YEAR($E$3),MONTH($E$3)+A24*$E$4,1),0)))),$B$6)</f>
        <v/>
      </c>
      <c r="C24" t="inlineStr">
        <is>
          <t>проценты</t>
        </is>
      </c>
      <c r="D24">
        <f>B24-B23</f>
        <v/>
      </c>
      <c r="E24" s="11">
        <f>IF(YEAR(B23)=YEAR(B24),(B24-B23)/(DATE(YEAR(B23)+1,1,1)-DATE(YEAR(B23),1,1)),(DATE(YEAR(B23)+1,1,1)-B23)/(DATE(YEAR(B23)+1,1,1)-DATE(YEAR(B23),1,1))+(B24-DATE(YEAR(B24),1,1))/(DATE(YEAR(B24)+1,1,1)-DATE(YEAR(B24),1,1))+YEAR(B24)-YEAR(B23)-1)</f>
        <v/>
      </c>
      <c r="F24" s="8">
        <f>K23</f>
        <v/>
      </c>
      <c r="G24" s="7">
        <f>MIN($B$12,MAX($B$11,$B$14+$B$10))</f>
        <v/>
      </c>
      <c r="H24" s="8">
        <f>F24*G24*E24</f>
        <v/>
      </c>
      <c r="I24" s="8">
        <f>SUM(H23:H24)</f>
        <v/>
      </c>
      <c r="J24" s="8">
        <f>0</f>
        <v/>
      </c>
      <c r="K24" s="8">
        <f>F24-J24</f>
        <v/>
      </c>
    </row>
    <row r="25">
      <c r="A25" t="n">
        <v>8</v>
      </c>
      <c r="B25" s="10">
        <f>MIN(DATE(YEAR($E$6),MONTH($E$6)+A25*$E$7,MIN($E$8,DAY(EOMONTH(DATE(YEAR($E$6),MONTH($E$6)+A25*$E$7,1),0)))),$B$6)</f>
        <v/>
      </c>
      <c r="C25" t="inlineStr">
        <is>
          <t>тело</t>
        </is>
      </c>
      <c r="D25">
        <f>B25-B24</f>
        <v/>
      </c>
      <c r="E25" s="11">
        <f>IF(YEAR(B24)=YEAR(B25),(B25-B24)/(DATE(YEAR(B24)+1,1,1)-DATE(YEAR(B24),1,1)),(DATE(YEAR(B24)+1,1,1)-B24)/(DATE(YEAR(B24)+1,1,1)-DATE(YEAR(B24),1,1))+(B25-DATE(YEAR(B25),1,1))/(DATE(YEAR(B25)+1,1,1)-DATE(YEAR(B25),1,1))+YEAR(B25)-YEAR(B24)-1)</f>
        <v/>
      </c>
      <c r="F25" s="8">
        <f>K24</f>
        <v/>
      </c>
      <c r="G25" s="7">
        <f>MIN($B$12,MAX($B$11,$B$14+$B$10))</f>
        <v/>
      </c>
      <c r="H25" s="8">
        <f>F25*G25*E25</f>
        <v/>
      </c>
      <c r="I25" s="8">
        <f>0</f>
        <v/>
      </c>
      <c r="J25" s="8">
        <f>$B$7/$B$18</f>
        <v/>
      </c>
      <c r="K25" s="8">
        <f>F25-J25</f>
        <v/>
      </c>
    </row>
    <row r="26">
      <c r="A26" t="n">
        <v>9</v>
      </c>
      <c r="B26" s="10">
        <f>MIN(DATE(YEAR($E$3),MONTH($E$3)+A26*$E$4,MIN($E$5,DAY(EOMONTH(DATE(YEAR($E$3),MONTH($E$3)+A26*$E$4,1),0)))),$B$6)</f>
        <v/>
      </c>
      <c r="C26" t="inlineStr">
        <is>
          <t>проценты</t>
        </is>
      </c>
      <c r="D26">
        <f>B26-B25</f>
        <v/>
      </c>
      <c r="E26" s="11">
        <f>IF(YEAR(B25)=YEAR(B26),(B26-B25)/(DATE(YEAR(B25)+1,1,1)-DATE(YEAR(B25),1,1)),(DATE(YEAR(B25)+1,1,1)-B25)/(DATE(YEAR(B25)+1,1,1)-DATE(YEAR(B25),1,1))+(B26-DATE(YEAR(B26),1,1))/(DATE(YEAR(B26)+1,1,1)-DATE(YEAR(B26),1,1))+YEAR(B26)-YEAR(B25)-1)</f>
        <v/>
      </c>
      <c r="F26" s="8">
        <f>K25</f>
        <v/>
      </c>
      <c r="G26" s="7">
        <f>MIN($B$12,MAX($B$11,$B$15+$B$10))</f>
        <v/>
      </c>
      <c r="H26" s="8">
        <f>F26*G26*E26</f>
        <v/>
      </c>
      <c r="I26" s="8">
        <f>SUM(H25:H26)</f>
        <v/>
      </c>
      <c r="J26" s="8">
        <f>0</f>
        <v/>
      </c>
      <c r="K26" s="8">
        <f>F26-J26</f>
        <v/>
      </c>
    </row>
    <row r="27">
      <c r="A27" t="n">
        <v>9</v>
      </c>
      <c r="B27" s="10">
        <f>MIN(DATE(YEAR($E$6),MONTH($E$6)+A27*$E$7,MIN($E$8,DAY(EOMONTH(DATE(YEAR($E$6),MONTH($E$6)+A27*$E$7,1),0)))),$B$6)</f>
        <v/>
      </c>
      <c r="C27" t="inlineStr">
        <is>
          <t>тело</t>
        </is>
      </c>
      <c r="D27">
        <f>B27-B26</f>
        <v/>
      </c>
      <c r="E27" s="11">
        <f>IF(YEAR(B26)=YEAR(B27),(B27-B26)/(DATE(YEAR(B26)+1,1,1)-DATE(YEAR(B26),1,1)),(DATE(YEAR(B26)+1,1,1)-B26)/(DATE(YEAR(B26)+1,1,1)-DATE(YEAR(B26),1,1))+(B27-DATE(YEAR(B27),1,1))/(DATE(YEAR(B27)+1,1,1)-DATE(YEAR(B27),1,1))+YEAR(B27)-YEAR(B26)-1)</f>
        <v/>
      </c>
      <c r="F27" s="8">
        <f>K26</f>
        <v/>
      </c>
      <c r="G27" s="7">
        <f>MIN($B$12,MAX($B$11,$B$15+$B$10))</f>
        <v/>
      </c>
      <c r="H27" s="8">
        <f>F27*G27*E27</f>
        <v/>
      </c>
      <c r="I27" s="8">
        <f>0</f>
        <v/>
      </c>
      <c r="J27" s="8">
        <f>$B$7/$B$18</f>
        <v/>
      </c>
      <c r="K27" s="8">
        <f>F27-J27</f>
        <v/>
      </c>
    </row>
    <row r="28">
      <c r="A28" t="n">
        <v>10</v>
      </c>
      <c r="B28" s="10">
        <f>MIN(DATE(YEAR($E$3),MONTH($E$3)+A28*$E$4,MIN($E$5,DAY(EOMONTH(DATE(YEAR($E$3),MONTH($E$3)+A28*$E$4,1),0)))),$B$6)</f>
        <v/>
      </c>
      <c r="C28" t="inlineStr">
        <is>
          <t>проценты</t>
        </is>
      </c>
      <c r="D28">
        <f>B28-B27</f>
        <v/>
      </c>
      <c r="E28" s="11">
        <f>IF(YEAR(B27)=YEAR(B28),(B28-B27)/(DATE(YEAR(B27)+1,1,1)-DATE(YEAR(B27),1,1)),(DATE(YEAR(B27)+1,1,1)-B27)/(DATE(YEAR(B27)+1,1,1)-DATE(YEAR(B27),1,1))+(B28-DATE(YEAR(B28),1,1))/(DATE(YEAR(B28)+1,1,1)-DATE(YEAR(B28),1,1))+YEAR(B28)-YEAR(B27)-1)</f>
        <v/>
      </c>
      <c r="F28" s="8">
        <f>K27</f>
        <v/>
      </c>
      <c r="G28" s="7">
        <f>MIN($B$12,MAX($B$11,$B$15+$B$10))</f>
        <v/>
      </c>
      <c r="H28" s="8">
        <f>F28*G28*E28</f>
        <v/>
      </c>
      <c r="I28" s="8">
        <f>SUM(H27:H28)</f>
        <v/>
      </c>
      <c r="J28" s="8">
        <f>0</f>
        <v/>
      </c>
      <c r="K28" s="8">
        <f>F28-J28</f>
        <v/>
      </c>
    </row>
    <row r="29">
      <c r="A29" t="n">
        <v>10</v>
      </c>
      <c r="B29" s="10">
        <f>MIN(DATE(YEAR($E$6),MONTH($E$6)+A29*$E$7,MIN($E$8,DAY(EOMONTH(DATE(YEAR($E$6),MONTH($E$6)+A29*$E$7,1),0)))),$B$6)</f>
        <v/>
      </c>
      <c r="C29" t="inlineStr">
        <is>
          <t>тело</t>
        </is>
      </c>
      <c r="D29">
        <f>B29-B28</f>
        <v/>
      </c>
      <c r="E29" s="11">
        <f>IF(YEAR(B28)=YEAR(B29),(B29-B28)/(DATE(YEAR(B28)+1,1,1)-DATE(YEAR(B28),1,1)),(DATE(YEAR(B28)+1,1,1)-B28)/(DATE(YEAR(B28)+1,1,1)-DATE(YEAR(B28),1,1))+(B29-DATE(YEAR(B29),1,1))/(DATE(YEAR(B29)+1,1,1)-DATE(YEAR(B29),1,1))+YEAR(B29)-YEAR(B28)-1)</f>
        <v/>
      </c>
      <c r="F29" s="8">
        <f>K28</f>
        <v/>
      </c>
      <c r="G29" s="7">
        <f>MIN($B$12,MAX($B$11,$B$15+$B$10))</f>
        <v/>
      </c>
      <c r="H29" s="8">
        <f>F29*G29*E29</f>
        <v/>
      </c>
      <c r="I29" s="8">
        <f>0</f>
        <v/>
      </c>
      <c r="J29" s="8">
        <f>$B$7/$B$18</f>
        <v/>
      </c>
      <c r="K29" s="8">
        <f>F29-J29</f>
        <v/>
      </c>
    </row>
    <row r="30">
      <c r="A30" t="n">
        <v>11</v>
      </c>
      <c r="B30" s="10">
        <f>MIN(DATE(YEAR($E$3),MONTH($E$3)+A30*$E$4,MIN($E$5,DAY(EOMONTH(DATE(YEAR($E$3),MONTH($E$3)+A30*$E$4,1),0)))),$B$6)</f>
        <v/>
      </c>
      <c r="C30" t="inlineStr">
        <is>
          <t>проценты</t>
        </is>
      </c>
      <c r="D30">
        <f>B30-B29</f>
        <v/>
      </c>
      <c r="E30" s="11">
        <f>IF(YEAR(B29)=YEAR(B30),(B30-B29)/(DATE(YEAR(B29)+1,1,1)-DATE(YEAR(B29),1,1)),(DATE(YEAR(B29)+1,1,1)-B29)/(DATE(YEAR(B29)+1,1,1)-DATE(YEAR(B29),1,1))+(B30-DATE(YEAR(B30),1,1))/(DATE(YEAR(B30)+1,1,1)-DATE(YEAR(B30),1,1))+YEAR(B30)-YEAR(B29)-1)</f>
        <v/>
      </c>
      <c r="F30" s="8">
        <f>K29</f>
        <v/>
      </c>
      <c r="G30" s="7">
        <f>MIN($B$12,MAX($B$11,$B$15+$B$10))</f>
        <v/>
      </c>
      <c r="H30" s="8">
        <f>F30*G30*E30</f>
        <v/>
      </c>
      <c r="I30" s="8">
        <f>SUM(H29:H30)</f>
        <v/>
      </c>
      <c r="J30" s="8">
        <f>0</f>
        <v/>
      </c>
      <c r="K30" s="8">
        <f>F30-J30</f>
        <v/>
      </c>
    </row>
    <row r="31">
      <c r="A31" t="n">
        <v>11</v>
      </c>
      <c r="B31" s="10">
        <f>MIN(DATE(YEAR($E$6),MONTH($E$6)+A31*$E$7,MIN($E$8,DAY(EOMONTH(DATE(YEAR($E$6),MONTH($E$6)+A31*$E$7,1),0)))),$B$6)</f>
        <v/>
      </c>
      <c r="C31" t="inlineStr">
        <is>
          <t>тело</t>
        </is>
      </c>
      <c r="D31">
        <f>B31-B30</f>
        <v/>
      </c>
      <c r="E31" s="11">
        <f>IF(YEAR(B30)=YEAR(B31),(B31-B30)/(DATE(YEAR(B30)+1,1,1)-DATE(YEAR(B30),1,1)),(DATE(YEAR(B30)+1,1,1)-B30)/(DATE(YEAR(B30)+1,1,1)-DATE(YEAR(B30),1,1))+(B31-DATE(YEAR(B31),1,1))/(DATE(YEAR(B31)+1,1,1)-DATE(YEAR(B31),1,1))+YEAR(B31)-YEAR(B30)-1)</f>
        <v/>
      </c>
      <c r="F31" s="8">
        <f>K30</f>
        <v/>
      </c>
      <c r="G31" s="7">
        <f>MIN($B$12,MAX($B$11,$B$15+$B$10))</f>
        <v/>
      </c>
      <c r="H31" s="8">
        <f>F31*G31*E31</f>
        <v/>
      </c>
      <c r="I31" s="8">
        <f>0</f>
        <v/>
      </c>
      <c r="J31" s="8">
        <f>$B$7/$B$18</f>
        <v/>
      </c>
      <c r="K31" s="8">
        <f>F31-J31</f>
        <v/>
      </c>
    </row>
    <row r="32">
      <c r="A32" t="n">
        <v>12</v>
      </c>
      <c r="B32" s="10">
        <f>MIN(DATE(YEAR($E$3),MONTH($E$3)+A32*$E$4,MIN($E$5,DAY(EOMONTH(DATE(YEAR($E$3),MONTH($E$3)+A32*$E$4,1),0)))),$B$6)</f>
        <v/>
      </c>
      <c r="C32" t="inlineStr">
        <is>
          <t>проценты</t>
        </is>
      </c>
      <c r="D32">
        <f>B32-B31</f>
        <v/>
      </c>
      <c r="E32" s="11">
        <f>IF(YEAR(B31)=YEAR(B32),(B32-B31)/(DATE(YEAR(B31)+1,1,1)-DATE(YEAR(B31),1,1)),(DATE(YEAR(B31)+1,1,1)-B31)/(DATE(YEAR(B31)+1,1,1)-DATE(YEAR(B31),1,1))+(B32-DATE(YEAR(B32),1,1))/(DATE(YEAR(B32)+1,1,1)-DATE(YEAR(B32),1,1))+YEAR(B32)-YEAR(B31)-1)</f>
        <v/>
      </c>
      <c r="F32" s="8">
        <f>K31</f>
        <v/>
      </c>
      <c r="G32" s="7">
        <f>MIN($B$12,MAX($B$11,$B$15+$B$10))</f>
        <v/>
      </c>
      <c r="H32" s="8">
        <f>F32*G32*E32</f>
        <v/>
      </c>
      <c r="I32" s="8">
        <f>SUM(H31:H32)</f>
        <v/>
      </c>
      <c r="J32" s="8">
        <f>0</f>
        <v/>
      </c>
      <c r="K32" s="8">
        <f>F32-J32</f>
        <v/>
      </c>
    </row>
    <row r="33">
      <c r="A33" t="n">
        <v>12</v>
      </c>
      <c r="B33" s="10">
        <f>MIN(DATE(YEAR($E$6),MONTH($E$6)+A33*$E$7,MIN($E$8,DAY(EOMONTH(DATE(YEAR($E$6),MONTH($E$6)+A33*$E$7,1),0)))),$B$6)</f>
        <v/>
      </c>
      <c r="C33" t="inlineStr">
        <is>
          <t>тело</t>
        </is>
      </c>
      <c r="D33">
        <f>B33-B32</f>
        <v/>
      </c>
      <c r="E33" s="11">
        <f>IF(YEAR(B32)=YEAR(B33),(B33-B32)/(DATE(YEAR(B32)+1,1,1)-DATE(YEAR(B32),1,1)),(DATE(YEAR(B32)+1,1,1)-B32)/(DATE(YEAR(B32)+1,1,1)-DATE(YEAR(B32),1,1))+(B33-DATE(YEAR(B33),1,1))/(DATE(YEAR(B33)+1,1,1)-DATE(YEAR(B33),1,1))+YEAR(B33)-YEAR(B32)-1)</f>
        <v/>
      </c>
      <c r="F33" s="8">
        <f>K32</f>
        <v/>
      </c>
      <c r="G33" s="7">
        <f>MIN($B$12,MAX($B$11,$B$15+$B$10))</f>
        <v/>
      </c>
      <c r="H33" s="8">
        <f>F33*G33*E33</f>
        <v/>
      </c>
      <c r="I33" s="8">
        <f>0</f>
        <v/>
      </c>
      <c r="J33" s="8">
        <f>$B$7/$B$18</f>
        <v/>
      </c>
      <c r="K33" s="8">
        <f>F33-J33</f>
        <v/>
      </c>
    </row>
    <row r="34">
      <c r="A34" t="n">
        <v>13</v>
      </c>
      <c r="B34" s="10">
        <f>MIN(DATE(YEAR($E$3),MONTH($E$3)+A34*$E$4,MIN($E$5,DAY(EOMONTH(DATE(YEAR($E$3),MONTH($E$3)+A34*$E$4,1),0)))),$B$6)</f>
        <v/>
      </c>
      <c r="C34" t="inlineStr">
        <is>
          <t>проценты</t>
        </is>
      </c>
      <c r="D34">
        <f>B34-B33</f>
        <v/>
      </c>
      <c r="E34" s="11">
        <f>IF(YEAR(B33)=YEAR(B34),(B34-B33)/(DATE(YEAR(B33)+1,1,1)-DATE(YEAR(B33),1,1)),(DATE(YEAR(B33)+1,1,1)-B33)/(DATE(YEAR(B33)+1,1,1)-DATE(YEAR(B33),1,1))+(B34-DATE(YEAR(B34),1,1))/(DATE(YEAR(B34)+1,1,1)-DATE(YEAR(B34),1,1))+YEAR(B34)-YEAR(B33)-1)</f>
        <v/>
      </c>
      <c r="F34" s="8">
        <f>K33</f>
        <v/>
      </c>
      <c r="G34" s="7">
        <f>MIN($B$12,MAX($B$11,$B$15+$B$10))</f>
        <v/>
      </c>
      <c r="H34" s="8">
        <f>F34*G34*E34</f>
        <v/>
      </c>
      <c r="I34" s="8">
        <f>SUM(H33:H34)</f>
        <v/>
      </c>
      <c r="J34" s="8">
        <f>0</f>
        <v/>
      </c>
      <c r="K34" s="8">
        <f>F34-J34</f>
        <v/>
      </c>
    </row>
    <row r="35">
      <c r="A35" t="n">
        <v>13</v>
      </c>
      <c r="B35" s="10">
        <f>MIN(DATE(YEAR($E$6),MONTH($E$6)+A35*$E$7,MIN($E$8,DAY(EOMONTH(DATE(YEAR($E$6),MONTH($E$6)+A35*$E$7,1),0)))),$B$6)</f>
        <v/>
      </c>
      <c r="C35" t="inlineStr">
        <is>
          <t>тело</t>
        </is>
      </c>
      <c r="D35">
        <f>B35-B34</f>
        <v/>
      </c>
      <c r="E35" s="11">
        <f>IF(YEAR(B34)=YEAR(B35),(B35-B34)/(DATE(YEAR(B34)+1,1,1)-DATE(YEAR(B34),1,1)),(DATE(YEAR(B34)+1,1,1)-B34)/(DATE(YEAR(B34)+1,1,1)-DATE(YEAR(B34),1,1))+(B35-DATE(YEAR(B35),1,1))/(DATE(YEAR(B35)+1,1,1)-DATE(YEAR(B35),1,1))+YEAR(B35)-YEAR(B34)-1)</f>
        <v/>
      </c>
      <c r="F35" s="8">
        <f>K34</f>
        <v/>
      </c>
      <c r="G35" s="7">
        <f>MIN($B$12,MAX($B$11,$B$15+$B$10))</f>
        <v/>
      </c>
      <c r="H35" s="8">
        <f>F35*G35*E35</f>
        <v/>
      </c>
      <c r="I35" s="8">
        <f>0</f>
        <v/>
      </c>
      <c r="J35" s="8">
        <f>$B$7/$B$18</f>
        <v/>
      </c>
      <c r="K35" s="8">
        <f>F35-J35</f>
        <v/>
      </c>
    </row>
    <row r="36">
      <c r="A36" t="n">
        <v>14</v>
      </c>
      <c r="B36" s="10">
        <f>MIN(DATE(YEAR($E$3),MONTH($E$3)+A36*$E$4,MIN($E$5,DAY(EOMONTH(DATE(YEAR($E$3),MONTH($E$3)+A36*$E$4,1),0)))),$B$6)</f>
        <v/>
      </c>
      <c r="C36" t="inlineStr">
        <is>
          <t>проценты</t>
        </is>
      </c>
      <c r="D36">
        <f>B36-B35</f>
        <v/>
      </c>
      <c r="E36" s="11">
        <f>IF(YEAR(B35)=YEAR(B36),(B36-B35)/(DATE(YEAR(B35)+1,1,1)-DATE(YEAR(B35),1,1)),(DATE(YEAR(B35)+1,1,1)-B35)/(DATE(YEAR(B35)+1,1,1)-DATE(YEAR(B35),1,1))+(B36-DATE(YEAR(B36),1,1))/(DATE(YEAR(B36)+1,1,1)-DATE(YEAR(B36),1,1))+YEAR(B36)-YEAR(B35)-1)</f>
        <v/>
      </c>
      <c r="F36" s="8">
        <f>K35</f>
        <v/>
      </c>
      <c r="G36" s="7">
        <f>MIN($B$12,MAX($B$11,$B$15+$B$10))</f>
        <v/>
      </c>
      <c r="H36" s="8">
        <f>F36*G36*E36</f>
        <v/>
      </c>
      <c r="I36" s="8">
        <f>SUM(H35:H36)</f>
        <v/>
      </c>
      <c r="J36" s="8">
        <f>0</f>
        <v/>
      </c>
      <c r="K36" s="8">
        <f>F36-J36</f>
        <v/>
      </c>
    </row>
    <row r="37">
      <c r="A37" t="n">
        <v>14</v>
      </c>
      <c r="B37" s="10">
        <f>MIN(DATE(YEAR($E$6),MONTH($E$6)+A37*$E$7,MIN($E$8,DAY(EOMONTH(DATE(YEAR($E$6),MONTH($E$6)+A37*$E$7,1),0)))),$B$6)</f>
        <v/>
      </c>
      <c r="C37" t="inlineStr">
        <is>
          <t>тело</t>
        </is>
      </c>
      <c r="D37">
        <f>B37-B36</f>
        <v/>
      </c>
      <c r="E37" s="11">
        <f>IF(YEAR(B36)=YEAR(B37),(B37-B36)/(DATE(YEAR(B36)+1,1,1)-DATE(YEAR(B36),1,1)),(DATE(YEAR(B36)+1,1,1)-B36)/(DATE(YEAR(B36)+1,1,1)-DATE(YEAR(B36),1,1))+(B37-DATE(YEAR(B37),1,1))/(DATE(YEAR(B37)+1,1,1)-DATE(YEAR(B37),1,1))+YEAR(B37)-YEAR(B36)-1)</f>
        <v/>
      </c>
      <c r="F37" s="8">
        <f>K36</f>
        <v/>
      </c>
      <c r="G37" s="7">
        <f>MIN($B$12,MAX($B$11,$B$15+$B$10))</f>
        <v/>
      </c>
      <c r="H37" s="8">
        <f>F37*G37*E37</f>
        <v/>
      </c>
      <c r="I37" s="8">
        <f>0</f>
        <v/>
      </c>
      <c r="J37" s="8">
        <f>$B$7/$B$18</f>
        <v/>
      </c>
      <c r="K37" s="8">
        <f>F37-J37</f>
        <v/>
      </c>
    </row>
    <row r="38">
      <c r="A38" t="n">
        <v>15</v>
      </c>
      <c r="B38" s="10">
        <f>MIN(DATE(YEAR($E$3),MONTH($E$3)+A38*$E$4,MIN($E$5,DAY(EOMONTH(DATE(YEAR($E$3),MONTH($E$3)+A38*$E$4,1),0)))),$B$6)</f>
        <v/>
      </c>
      <c r="C38" t="inlineStr">
        <is>
          <t>проценты</t>
        </is>
      </c>
      <c r="D38">
        <f>B38-B37</f>
        <v/>
      </c>
      <c r="E38" s="11">
        <f>IF(YEAR(B37)=YEAR(B38),(B38-B37)/(DATE(YEAR(B37)+1,1,1)-DATE(YEAR(B37),1,1)),(DATE(YEAR(B37)+1,1,1)-B37)/(DATE(YEAR(B37)+1,1,1)-DATE(YEAR(B37),1,1))+(B38-DATE(YEAR(B38),1,1))/(DATE(YEAR(B38)+1,1,1)-DATE(YEAR(B38),1,1))+YEAR(B38)-YEAR(B37)-1)</f>
        <v/>
      </c>
      <c r="F38" s="8">
        <f>K37</f>
        <v/>
      </c>
      <c r="G38" s="7">
        <f>MIN($B$12,MAX($B$11,$B$15+$B$10))</f>
        <v/>
      </c>
      <c r="H38" s="8">
        <f>F38*G38*E38</f>
        <v/>
      </c>
      <c r="I38" s="8">
        <f>SUM(H37:H38)</f>
        <v/>
      </c>
      <c r="J38" s="8">
        <f>0</f>
        <v/>
      </c>
      <c r="K38" s="8">
        <f>F38-J38</f>
        <v/>
      </c>
    </row>
    <row r="39">
      <c r="A39" t="n">
        <v>15</v>
      </c>
      <c r="B39" s="10">
        <f>MIN(DATE(YEAR($E$6),MONTH($E$6)+A39*$E$7,MIN($E$8,DAY(EOMONTH(DATE(YEAR($E$6),MONTH($E$6)+A39*$E$7,1),0)))),$B$6)</f>
        <v/>
      </c>
      <c r="C39" t="inlineStr">
        <is>
          <t>тело</t>
        </is>
      </c>
      <c r="D39">
        <f>B39-B38</f>
        <v/>
      </c>
      <c r="E39" s="11">
        <f>IF(YEAR(B38)=YEAR(B39),(B39-B38)/(DATE(YEAR(B38)+1,1,1)-DATE(YEAR(B38),1,1)),(DATE(YEAR(B38)+1,1,1)-B38)/(DATE(YEAR(B38)+1,1,1)-DATE(YEAR(B38),1,1))+(B39-DATE(YEAR(B39),1,1))/(DATE(YEAR(B39)+1,1,1)-DATE(YEAR(B39),1,1))+YEAR(B39)-YEAR(B38)-1)</f>
        <v/>
      </c>
      <c r="F39" s="8">
        <f>K38</f>
        <v/>
      </c>
      <c r="G39" s="7">
        <f>MIN($B$12,MAX($B$11,$B$15+$B$10))</f>
        <v/>
      </c>
      <c r="H39" s="8">
        <f>F39*G39*E39</f>
        <v/>
      </c>
      <c r="I39" s="8">
        <f>0</f>
        <v/>
      </c>
      <c r="J39" s="8">
        <f>$B$7/$B$18</f>
        <v/>
      </c>
      <c r="K39" s="8">
        <f>F39-J39</f>
        <v/>
      </c>
    </row>
    <row r="40">
      <c r="B40" s="10">
        <f>$B$6</f>
        <v/>
      </c>
      <c r="C40" t="inlineStr">
        <is>
          <t>проценты, тело (закрытие)</t>
        </is>
      </c>
      <c r="D40">
        <f>B40-B39</f>
        <v/>
      </c>
      <c r="E40" s="11">
        <f>IF(YEAR(B39)=YEAR(B40),(B40-B39)/(DATE(YEAR(B39)+1,1,1)-DATE(YEAR(B39),1,1)),(DATE(YEAR(B39)+1,1,1)-B39)/(DATE(YEAR(B39)+1,1,1)-DATE(YEAR(B39),1,1))+(B40-DATE(YEAR(B40),1,1))/(DATE(YEAR(B40)+1,1,1)-DATE(YEAR(B40),1,1))+YEAR(B40)-YEAR(B39)-1)</f>
        <v/>
      </c>
      <c r="F40" s="8">
        <f>K39</f>
        <v/>
      </c>
      <c r="G40" s="7">
        <f>MIN($B$12,MAX($B$11,$B$15+$B$10))</f>
        <v/>
      </c>
      <c r="H40" s="8">
        <f>F40*G40*E40</f>
        <v/>
      </c>
      <c r="I40" s="8">
        <f>SUM(H39:H40)</f>
        <v/>
      </c>
      <c r="J40" s="8">
        <f>F40</f>
        <v/>
      </c>
      <c r="K40" s="8">
        <f>F40-J40</f>
        <v/>
      </c>
    </row>
    <row r="42">
      <c r="C42" s="2" t="inlineStr">
        <is>
          <t>Итого</t>
        </is>
      </c>
      <c r="I42" s="12">
        <f>SUM(I23:I40)</f>
        <v/>
      </c>
      <c r="J42" s="12">
        <f>SUM(J23:J40)</f>
        <v/>
      </c>
    </row>
    <row r="43">
      <c r="C43" t="inlineStr">
        <is>
          <t>Проверка: тело = B0</t>
        </is>
      </c>
      <c r="J43">
        <f>ROUND(J42-$B$7,2)</f>
        <v/>
      </c>
    </row>
    <row r="44">
      <c r="C44" t="inlineStr">
        <is>
          <t>Проверка: остаток после последнего = 0</t>
        </is>
      </c>
      <c r="K44">
        <f>K40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13" customWidth="1" min="5" max="5"/>
    <col width="17" customWidth="1" min="6" max="6"/>
    <col width="11" customWidth="1" min="7" max="7"/>
    <col width="16" customWidth="1" min="8" max="8"/>
    <col width="17" customWidth="1" min="9" max="9"/>
    <col width="16" customWidth="1" min="10" max="10"/>
    <col width="17" customWidth="1" min="11" max="11"/>
    <col width="11" customWidth="1" min="12" max="12"/>
    <col width="16" customWidth="1" min="13" max="13"/>
    <col width="16" customWidth="1" min="14" max="14"/>
  </cols>
  <sheetData>
    <row r="1">
      <c r="A1" s="1" t="inlineStr">
        <is>
          <t>Сделка 47: эталон с формулами (методика docs/METHODOLOGY.md)</t>
        </is>
      </c>
    </row>
    <row r="2">
      <c r="D2" s="2" t="inlineStr">
        <is>
          <t>Правила дат</t>
        </is>
      </c>
    </row>
    <row r="3">
      <c r="A3" t="inlineStr">
        <is>
          <t>Сделка</t>
        </is>
      </c>
      <c r="B3" s="3" t="n">
        <v>47</v>
      </c>
      <c r="D3" t="inlineStr">
        <is>
          <t>Проценты: начало</t>
        </is>
      </c>
      <c r="E3" s="4" t="n">
        <v>43629</v>
      </c>
    </row>
    <row r="4">
      <c r="A4" t="inlineStr">
        <is>
          <t>Тип погашения</t>
        </is>
      </c>
      <c r="B4" s="3" t="inlineStr">
        <is>
          <t>ANN</t>
        </is>
      </c>
      <c r="D4" t="inlineStr">
        <is>
          <t>Проценты: период, мес.</t>
        </is>
      </c>
      <c r="E4" s="3" t="n">
        <v>1</v>
      </c>
    </row>
    <row r="5">
      <c r="A5" t="inlineStr">
        <is>
          <t>Дата расчёта T0</t>
        </is>
      </c>
      <c r="B5" s="4" t="n">
        <v>44804</v>
      </c>
      <c r="D5" t="inlineStr">
        <is>
          <t>Проценты: число месяца</t>
        </is>
      </c>
      <c r="E5" s="3" t="n">
        <v>13</v>
      </c>
    </row>
    <row r="6">
      <c r="A6" t="inlineStr">
        <is>
          <t>Дата погашения Tm</t>
        </is>
      </c>
      <c r="B6" s="4" t="n">
        <v>45090</v>
      </c>
      <c r="D6" t="inlineStr">
        <is>
          <t>Тело: начало</t>
        </is>
      </c>
      <c r="E6" s="4" t="n">
        <v>43629</v>
      </c>
    </row>
    <row r="7">
      <c r="A7" t="inlineStr">
        <is>
          <t>Остаток на T0, B0</t>
        </is>
      </c>
      <c r="B7" s="5" t="n">
        <v>379878.38</v>
      </c>
      <c r="D7" t="inlineStr">
        <is>
          <t>Тело: период, мес.</t>
        </is>
      </c>
      <c r="E7" s="3" t="n">
        <v>1</v>
      </c>
    </row>
    <row r="8">
      <c r="A8" t="inlineStr">
        <is>
          <t>Конвенция</t>
        </is>
      </c>
      <c r="B8" s="3" t="inlineStr">
        <is>
          <t>ACT/ACT ISDA</t>
        </is>
      </c>
      <c r="D8" t="inlineStr">
        <is>
          <t>Тело: число месяца</t>
        </is>
      </c>
      <c r="E8" s="3" t="n">
        <v>13</v>
      </c>
    </row>
    <row r="9">
      <c r="A9" t="inlineStr">
        <is>
          <t>Тип ставки</t>
        </is>
      </c>
      <c r="B9" s="3" t="inlineStr">
        <is>
          <t>FIXED</t>
        </is>
      </c>
      <c r="D9" t="inlineStr">
        <is>
          <t>Субсидия: начало</t>
        </is>
      </c>
      <c r="E9" s="4" t="n">
        <v>44010</v>
      </c>
    </row>
    <row r="10">
      <c r="A10" t="inlineStr">
        <is>
          <t>interest_rate (ставка / маржа)</t>
        </is>
      </c>
      <c r="B10" s="6" t="n">
        <v>0.07000000000000001</v>
      </c>
      <c r="D10" t="inlineStr">
        <is>
          <t>Субсидия: период, мес.</t>
        </is>
      </c>
      <c r="E10" s="3" t="n">
        <v>1</v>
      </c>
    </row>
    <row r="11">
      <c r="A11" t="inlineStr">
        <is>
          <t>Субсидия: sub_interest_rate s</t>
        </is>
      </c>
      <c r="B11" s="6" t="n">
        <v>0.075</v>
      </c>
      <c r="D11" t="inlineStr">
        <is>
          <t>Субсидия: число месяца</t>
        </is>
      </c>
      <c r="E11" s="3" t="n">
        <v>13</v>
      </c>
    </row>
    <row r="12">
      <c r="A12" t="inlineStr">
        <is>
          <t>Субсидия: коэффициент k (пусто → 1)</t>
        </is>
      </c>
      <c r="B12" s="3" t="n">
        <v>1</v>
      </c>
    </row>
    <row r="13">
      <c r="A13" t="inlineStr">
        <is>
          <t>КС ЦБ на 31.07.2022 (фиксинг)</t>
        </is>
      </c>
      <c r="B13" s="6" t="n">
        <v>0.08</v>
      </c>
    </row>
    <row r="14">
      <c r="A14" t="inlineStr">
        <is>
          <t>КС ЦБ на 31.08.2022 (фиксинг)</t>
        </is>
      </c>
      <c r="B14" s="6" t="n">
        <v>0.08</v>
      </c>
    </row>
    <row r="15">
      <c r="A15" t="inlineStr">
        <is>
          <t>КС ЦБ: прогноз после T0 (H3: значение на T0, сдвиг 0)</t>
        </is>
      </c>
      <c r="B15" s="6" t="n">
        <v>0.08</v>
      </c>
    </row>
    <row r="16">
      <c r="A16" s="2" t="inlineStr">
        <is>
          <t>Ставка клиента на T0 (для аннуитета)</t>
        </is>
      </c>
      <c r="B16" s="7">
        <f>$B$10</f>
        <v/>
      </c>
    </row>
    <row r="18">
      <c r="A18" s="2" t="inlineStr">
        <is>
          <t>Число будущих дат тела n</t>
        </is>
      </c>
      <c r="B18">
        <f>COUNTIF(C23:C33,"*тело*")</f>
        <v/>
      </c>
    </row>
    <row r="19">
      <c r="A19" s="2" t="inlineStr">
        <is>
          <t>Аннуитет A = B0·i/(1−(1+i)^−n), i = r/12</t>
        </is>
      </c>
      <c r="B19" s="8">
        <f>$B$7*($B$16/12)/(1-(1+$B$16/12)^(-$B$18))</f>
        <v/>
      </c>
    </row>
    <row r="21">
      <c r="A21" s="9" t="inlineStr">
        <is>
          <t>k</t>
        </is>
      </c>
      <c r="B21" s="9" t="inlineStr">
        <is>
          <t>Дата</t>
        </is>
      </c>
      <c r="C21" s="9" t="inlineStr">
        <is>
          <t>Что происходит</t>
        </is>
      </c>
      <c r="D21" s="9" t="inlineStr">
        <is>
          <t>Дней</t>
        </is>
      </c>
      <c r="E21" s="9" t="inlineStr">
        <is>
          <t>Доля года τ</t>
        </is>
      </c>
      <c r="F21" s="9" t="inlineStr">
        <is>
          <t>Остаток на отрезке B</t>
        </is>
      </c>
      <c r="G21" s="9" t="inlineStr">
        <is>
          <t>Ставка r на отрезке</t>
        </is>
      </c>
      <c r="H21" s="9" t="inlineStr">
        <is>
          <t>Начислено B·r·τ</t>
        </is>
      </c>
      <c r="I21" s="9" t="inlineStr">
        <is>
          <t>Проценты к выплате</t>
        </is>
      </c>
      <c r="J21" s="9" t="inlineStr">
        <is>
          <t>Тело</t>
        </is>
      </c>
      <c r="K21" s="9" t="inlineStr">
        <is>
          <t>Остаток после</t>
        </is>
      </c>
      <c r="L21" s="9" t="inlineStr">
        <is>
          <t>Ставка субсидии на отрезке</t>
        </is>
      </c>
      <c r="M21" s="9" t="inlineStr">
        <is>
          <t>Субсидия начислено</t>
        </is>
      </c>
      <c r="N21" s="9" t="inlineStr">
        <is>
          <t>Субсидия к выплате</t>
        </is>
      </c>
    </row>
    <row r="22">
      <c r="A22" t="n">
        <v>38</v>
      </c>
      <c r="B22" s="10">
        <f>MIN(DATE(YEAR($E$3),MONTH($E$3)+A22*$E$4,MIN($E$5,DAY(EOMONTH(DATE(YEAR($E$3),MONTH($E$3)+A22*$E$4,1),0)))),$B$6)</f>
        <v/>
      </c>
      <c r="C22" t="inlineStr">
        <is>
          <t>начало периода начисления</t>
        </is>
      </c>
      <c r="K22" s="8">
        <f>$B$7</f>
        <v/>
      </c>
    </row>
    <row r="23">
      <c r="A23" t="n">
        <v>39</v>
      </c>
      <c r="B23" s="10">
        <f>MIN(DATE(YEAR($E$6),MONTH($E$6)+A23*$E$7,MIN($E$8,DAY(EOMONTH(DATE(YEAR($E$6),MONTH($E$6)+A23*$E$7,1),0)))),$B$6)</f>
        <v/>
      </c>
      <c r="C23" t="inlineStr">
        <is>
          <t>проценты, субсидия, тело</t>
        </is>
      </c>
      <c r="D23">
        <f>B23-B22</f>
        <v/>
      </c>
      <c r="E23" s="11">
        <f>IF(YEAR(B22)=YEAR(B23),(B23-B22)/(DATE(YEAR(B22)+1,1,1)-DATE(YEAR(B22),1,1)),(DATE(YEAR(B22)+1,1,1)-B22)/(DATE(YEAR(B22)+1,1,1)-DATE(YEAR(B22),1,1))+(B23-DATE(YEAR(B23),1,1))/(DATE(YEAR(B23)+1,1,1)-DATE(YEAR(B23),1,1))+YEAR(B23)-YEAR(B22)-1)</f>
        <v/>
      </c>
      <c r="F23" s="8">
        <f>K22</f>
        <v/>
      </c>
      <c r="G23" s="7">
        <f>$B$10</f>
        <v/>
      </c>
      <c r="H23" s="8">
        <f>F23*G23*E23</f>
        <v/>
      </c>
      <c r="I23" s="8">
        <f>SUM(H23:H23)</f>
        <v/>
      </c>
      <c r="J23" s="8">
        <f>$B$19-I23</f>
        <v/>
      </c>
      <c r="K23" s="8">
        <f>F23-J23</f>
        <v/>
      </c>
      <c r="L23" s="7">
        <f>$B$12*$B$13+$B$11</f>
        <v/>
      </c>
      <c r="M23" s="8">
        <f>F23*L23*E23</f>
        <v/>
      </c>
      <c r="N23" s="8">
        <f>SUM(M23:M23)</f>
        <v/>
      </c>
    </row>
    <row r="24">
      <c r="A24" t="n">
        <v>40</v>
      </c>
      <c r="B24" s="10">
        <f>MIN(DATE(YEAR($E$6),MONTH($E$6)+A24*$E$7,MIN($E$8,DAY(EOMONTH(DATE(YEAR($E$6),MONTH($E$6)+A24*$E$7,1),0)))),$B$6)</f>
        <v/>
      </c>
      <c r="C24" t="inlineStr">
        <is>
          <t>проценты, субсидия, тело</t>
        </is>
      </c>
      <c r="D24">
        <f>B24-B23</f>
        <v/>
      </c>
      <c r="E24" s="11">
        <f>IF(YEAR(B23)=YEAR(B24),(B24-B23)/(DATE(YEAR(B23)+1,1,1)-DATE(YEAR(B23),1,1)),(DATE(YEAR(B23)+1,1,1)-B23)/(DATE(YEAR(B23)+1,1,1)-DATE(YEAR(B23),1,1))+(B24-DATE(YEAR(B24),1,1))/(DATE(YEAR(B24)+1,1,1)-DATE(YEAR(B24),1,1))+YEAR(B24)-YEAR(B23)-1)</f>
        <v/>
      </c>
      <c r="F24" s="8">
        <f>K23</f>
        <v/>
      </c>
      <c r="G24" s="7">
        <f>$B$10</f>
        <v/>
      </c>
      <c r="H24" s="8">
        <f>F24*G24*E24</f>
        <v/>
      </c>
      <c r="I24" s="8">
        <f>SUM(H24:H24)</f>
        <v/>
      </c>
      <c r="J24" s="8">
        <f>$B$19-I24</f>
        <v/>
      </c>
      <c r="K24" s="8">
        <f>F24-J24</f>
        <v/>
      </c>
      <c r="L24" s="7">
        <f>$B$12*$B$14+$B$11</f>
        <v/>
      </c>
      <c r="M24" s="8">
        <f>F24*L24*E24</f>
        <v/>
      </c>
      <c r="N24" s="8">
        <f>SUM(M24:M24)</f>
        <v/>
      </c>
    </row>
    <row r="25">
      <c r="A25" t="n">
        <v>41</v>
      </c>
      <c r="B25" s="10">
        <f>MIN(DATE(YEAR($E$6),MONTH($E$6)+A25*$E$7,MIN($E$8,DAY(EOMONTH(DATE(YEAR($E$6),MONTH($E$6)+A25*$E$7,1),0)))),$B$6)</f>
        <v/>
      </c>
      <c r="C25" t="inlineStr">
        <is>
          <t>проценты, субсидия, тело</t>
        </is>
      </c>
      <c r="D25">
        <f>B25-B24</f>
        <v/>
      </c>
      <c r="E25" s="11">
        <f>IF(YEAR(B24)=YEAR(B25),(B25-B24)/(DATE(YEAR(B24)+1,1,1)-DATE(YEAR(B24),1,1)),(DATE(YEAR(B24)+1,1,1)-B24)/(DATE(YEAR(B24)+1,1,1)-DATE(YEAR(B24),1,1))+(B25-DATE(YEAR(B25),1,1))/(DATE(YEAR(B25)+1,1,1)-DATE(YEAR(B25),1,1))+YEAR(B25)-YEAR(B24)-1)</f>
        <v/>
      </c>
      <c r="F25" s="8">
        <f>K24</f>
        <v/>
      </c>
      <c r="G25" s="7">
        <f>$B$10</f>
        <v/>
      </c>
      <c r="H25" s="8">
        <f>F25*G25*E25</f>
        <v/>
      </c>
      <c r="I25" s="8">
        <f>SUM(H25:H25)</f>
        <v/>
      </c>
      <c r="J25" s="8">
        <f>$B$19-I25</f>
        <v/>
      </c>
      <c r="K25" s="8">
        <f>F25-J25</f>
        <v/>
      </c>
      <c r="L25" s="7">
        <f>$B$12*$B$15+$B$11</f>
        <v/>
      </c>
      <c r="M25" s="8">
        <f>F25*L25*E25</f>
        <v/>
      </c>
      <c r="N25" s="8">
        <f>SUM(M25:M25)</f>
        <v/>
      </c>
    </row>
    <row r="26">
      <c r="A26" t="n">
        <v>42</v>
      </c>
      <c r="B26" s="10">
        <f>MIN(DATE(YEAR($E$6),MONTH($E$6)+A26*$E$7,MIN($E$8,DAY(EOMONTH(DATE(YEAR($E$6),MONTH($E$6)+A26*$E$7,1),0)))),$B$6)</f>
        <v/>
      </c>
      <c r="C26" t="inlineStr">
        <is>
          <t>проценты, субсидия, тело</t>
        </is>
      </c>
      <c r="D26">
        <f>B26-B25</f>
        <v/>
      </c>
      <c r="E26" s="11">
        <f>IF(YEAR(B25)=YEAR(B26),(B26-B25)/(DATE(YEAR(B25)+1,1,1)-DATE(YEAR(B25),1,1)),(DATE(YEAR(B25)+1,1,1)-B25)/(DATE(YEAR(B25)+1,1,1)-DATE(YEAR(B25),1,1))+(B26-DATE(YEAR(B26),1,1))/(DATE(YEAR(B26)+1,1,1)-DATE(YEAR(B26),1,1))+YEAR(B26)-YEAR(B25)-1)</f>
        <v/>
      </c>
      <c r="F26" s="8">
        <f>K25</f>
        <v/>
      </c>
      <c r="G26" s="7">
        <f>$B$10</f>
        <v/>
      </c>
      <c r="H26" s="8">
        <f>F26*G26*E26</f>
        <v/>
      </c>
      <c r="I26" s="8">
        <f>SUM(H26:H26)</f>
        <v/>
      </c>
      <c r="J26" s="8">
        <f>$B$19-I26</f>
        <v/>
      </c>
      <c r="K26" s="8">
        <f>F26-J26</f>
        <v/>
      </c>
      <c r="L26" s="7">
        <f>$B$12*$B$15+$B$11</f>
        <v/>
      </c>
      <c r="M26" s="8">
        <f>F26*L26*E26</f>
        <v/>
      </c>
      <c r="N26" s="8">
        <f>SUM(M26:M26)</f>
        <v/>
      </c>
    </row>
    <row r="27">
      <c r="A27" t="n">
        <v>43</v>
      </c>
      <c r="B27" s="10">
        <f>MIN(DATE(YEAR($E$6),MONTH($E$6)+A27*$E$7,MIN($E$8,DAY(EOMONTH(DATE(YEAR($E$6),MONTH($E$6)+A27*$E$7,1),0)))),$B$6)</f>
        <v/>
      </c>
      <c r="C27" t="inlineStr">
        <is>
          <t>проценты, субсидия, тело</t>
        </is>
      </c>
      <c r="D27">
        <f>B27-B26</f>
        <v/>
      </c>
      <c r="E27" s="11">
        <f>IF(YEAR(B26)=YEAR(B27),(B27-B26)/(DATE(YEAR(B26)+1,1,1)-DATE(YEAR(B26),1,1)),(DATE(YEAR(B26)+1,1,1)-B26)/(DATE(YEAR(B26)+1,1,1)-DATE(YEAR(B26),1,1))+(B27-DATE(YEAR(B27),1,1))/(DATE(YEAR(B27)+1,1,1)-DATE(YEAR(B27),1,1))+YEAR(B27)-YEAR(B26)-1)</f>
        <v/>
      </c>
      <c r="F27" s="8">
        <f>K26</f>
        <v/>
      </c>
      <c r="G27" s="7">
        <f>$B$10</f>
        <v/>
      </c>
      <c r="H27" s="8">
        <f>F27*G27*E27</f>
        <v/>
      </c>
      <c r="I27" s="8">
        <f>SUM(H27:H27)</f>
        <v/>
      </c>
      <c r="J27" s="8">
        <f>$B$19-I27</f>
        <v/>
      </c>
      <c r="K27" s="8">
        <f>F27-J27</f>
        <v/>
      </c>
      <c r="L27" s="7">
        <f>$B$12*$B$15+$B$11</f>
        <v/>
      </c>
      <c r="M27" s="8">
        <f>F27*L27*E27</f>
        <v/>
      </c>
      <c r="N27" s="8">
        <f>SUM(M27:M27)</f>
        <v/>
      </c>
    </row>
    <row r="28">
      <c r="A28" t="n">
        <v>44</v>
      </c>
      <c r="B28" s="10">
        <f>MIN(DATE(YEAR($E$6),MONTH($E$6)+A28*$E$7,MIN($E$8,DAY(EOMONTH(DATE(YEAR($E$6),MONTH($E$6)+A28*$E$7,1),0)))),$B$6)</f>
        <v/>
      </c>
      <c r="C28" t="inlineStr">
        <is>
          <t>проценты, субсидия, тело</t>
        </is>
      </c>
      <c r="D28">
        <f>B28-B27</f>
        <v/>
      </c>
      <c r="E28" s="11">
        <f>IF(YEAR(B27)=YEAR(B28),(B28-B27)/(DATE(YEAR(B27)+1,1,1)-DATE(YEAR(B27),1,1)),(DATE(YEAR(B27)+1,1,1)-B27)/(DATE(YEAR(B27)+1,1,1)-DATE(YEAR(B27),1,1))+(B28-DATE(YEAR(B28),1,1))/(DATE(YEAR(B28)+1,1,1)-DATE(YEAR(B28),1,1))+YEAR(B28)-YEAR(B27)-1)</f>
        <v/>
      </c>
      <c r="F28" s="8">
        <f>K27</f>
        <v/>
      </c>
      <c r="G28" s="7">
        <f>$B$10</f>
        <v/>
      </c>
      <c r="H28" s="8">
        <f>F28*G28*E28</f>
        <v/>
      </c>
      <c r="I28" s="8">
        <f>SUM(H28:H28)</f>
        <v/>
      </c>
      <c r="J28" s="8">
        <f>$B$19-I28</f>
        <v/>
      </c>
      <c r="K28" s="8">
        <f>F28-J28</f>
        <v/>
      </c>
      <c r="L28" s="7">
        <f>$B$12*$B$15+$B$11</f>
        <v/>
      </c>
      <c r="M28" s="8">
        <f>F28*L28*E28</f>
        <v/>
      </c>
      <c r="N28" s="8">
        <f>SUM(M28:M28)</f>
        <v/>
      </c>
    </row>
    <row r="29">
      <c r="A29" t="n">
        <v>45</v>
      </c>
      <c r="B29" s="10">
        <f>MIN(DATE(YEAR($E$6),MONTH($E$6)+A29*$E$7,MIN($E$8,DAY(EOMONTH(DATE(YEAR($E$6),MONTH($E$6)+A29*$E$7,1),0)))),$B$6)</f>
        <v/>
      </c>
      <c r="C29" t="inlineStr">
        <is>
          <t>проценты, субсидия, тело</t>
        </is>
      </c>
      <c r="D29">
        <f>B29-B28</f>
        <v/>
      </c>
      <c r="E29" s="11">
        <f>IF(YEAR(B28)=YEAR(B29),(B29-B28)/(DATE(YEAR(B28)+1,1,1)-DATE(YEAR(B28),1,1)),(DATE(YEAR(B28)+1,1,1)-B28)/(DATE(YEAR(B28)+1,1,1)-DATE(YEAR(B28),1,1))+(B29-DATE(YEAR(B29),1,1))/(DATE(YEAR(B29)+1,1,1)-DATE(YEAR(B29),1,1))+YEAR(B29)-YEAR(B28)-1)</f>
        <v/>
      </c>
      <c r="F29" s="8">
        <f>K28</f>
        <v/>
      </c>
      <c r="G29" s="7">
        <f>$B$10</f>
        <v/>
      </c>
      <c r="H29" s="8">
        <f>F29*G29*E29</f>
        <v/>
      </c>
      <c r="I29" s="8">
        <f>SUM(H29:H29)</f>
        <v/>
      </c>
      <c r="J29" s="8">
        <f>$B$19-I29</f>
        <v/>
      </c>
      <c r="K29" s="8">
        <f>F29-J29</f>
        <v/>
      </c>
      <c r="L29" s="7">
        <f>$B$12*$B$15+$B$11</f>
        <v/>
      </c>
      <c r="M29" s="8">
        <f>F29*L29*E29</f>
        <v/>
      </c>
      <c r="N29" s="8">
        <f>SUM(M29:M29)</f>
        <v/>
      </c>
    </row>
    <row r="30">
      <c r="A30" t="n">
        <v>46</v>
      </c>
      <c r="B30" s="10">
        <f>MIN(DATE(YEAR($E$6),MONTH($E$6)+A30*$E$7,MIN($E$8,DAY(EOMONTH(DATE(YEAR($E$6),MONTH($E$6)+A30*$E$7,1),0)))),$B$6)</f>
        <v/>
      </c>
      <c r="C30" t="inlineStr">
        <is>
          <t>проценты, субсидия, тело</t>
        </is>
      </c>
      <c r="D30">
        <f>B30-B29</f>
        <v/>
      </c>
      <c r="E30" s="11">
        <f>IF(YEAR(B29)=YEAR(B30),(B30-B29)/(DATE(YEAR(B29)+1,1,1)-DATE(YEAR(B29),1,1)),(DATE(YEAR(B29)+1,1,1)-B29)/(DATE(YEAR(B29)+1,1,1)-DATE(YEAR(B29),1,1))+(B30-DATE(YEAR(B30),1,1))/(DATE(YEAR(B30)+1,1,1)-DATE(YEAR(B30),1,1))+YEAR(B30)-YEAR(B29)-1)</f>
        <v/>
      </c>
      <c r="F30" s="8">
        <f>K29</f>
        <v/>
      </c>
      <c r="G30" s="7">
        <f>$B$10</f>
        <v/>
      </c>
      <c r="H30" s="8">
        <f>F30*G30*E30</f>
        <v/>
      </c>
      <c r="I30" s="8">
        <f>SUM(H30:H30)</f>
        <v/>
      </c>
      <c r="J30" s="8">
        <f>$B$19-I30</f>
        <v/>
      </c>
      <c r="K30" s="8">
        <f>F30-J30</f>
        <v/>
      </c>
      <c r="L30" s="7">
        <f>$B$12*$B$15+$B$11</f>
        <v/>
      </c>
      <c r="M30" s="8">
        <f>F30*L30*E30</f>
        <v/>
      </c>
      <c r="N30" s="8">
        <f>SUM(M30:M30)</f>
        <v/>
      </c>
    </row>
    <row r="31">
      <c r="A31" t="n">
        <v>47</v>
      </c>
      <c r="B31" s="10">
        <f>MIN(DATE(YEAR($E$6),MONTH($E$6)+A31*$E$7,MIN($E$8,DAY(EOMONTH(DATE(YEAR($E$6),MONTH($E$6)+A31*$E$7,1),0)))),$B$6)</f>
        <v/>
      </c>
      <c r="C31" t="inlineStr">
        <is>
          <t>проценты, субсидия, тело</t>
        </is>
      </c>
      <c r="D31">
        <f>B31-B30</f>
        <v/>
      </c>
      <c r="E31" s="11">
        <f>IF(YEAR(B30)=YEAR(B31),(B31-B30)/(DATE(YEAR(B30)+1,1,1)-DATE(YEAR(B30),1,1)),(DATE(YEAR(B30)+1,1,1)-B30)/(DATE(YEAR(B30)+1,1,1)-DATE(YEAR(B30),1,1))+(B31-DATE(YEAR(B31),1,1))/(DATE(YEAR(B31)+1,1,1)-DATE(YEAR(B31),1,1))+YEAR(B31)-YEAR(B30)-1)</f>
        <v/>
      </c>
      <c r="F31" s="8">
        <f>K30</f>
        <v/>
      </c>
      <c r="G31" s="7">
        <f>$B$10</f>
        <v/>
      </c>
      <c r="H31" s="8">
        <f>F31*G31*E31</f>
        <v/>
      </c>
      <c r="I31" s="8">
        <f>SUM(H31:H31)</f>
        <v/>
      </c>
      <c r="J31" s="8">
        <f>$B$19-I31</f>
        <v/>
      </c>
      <c r="K31" s="8">
        <f>F31-J31</f>
        <v/>
      </c>
      <c r="L31" s="7">
        <f>$B$12*$B$15+$B$11</f>
        <v/>
      </c>
      <c r="M31" s="8">
        <f>F31*L31*E31</f>
        <v/>
      </c>
      <c r="N31" s="8">
        <f>SUM(M31:M31)</f>
        <v/>
      </c>
    </row>
    <row r="32">
      <c r="B32" s="10">
        <f>$B$6</f>
        <v/>
      </c>
      <c r="C32" t="inlineStr">
        <is>
          <t>проценты, субсидия, тело (закрытие)</t>
        </is>
      </c>
      <c r="D32">
        <f>B32-B31</f>
        <v/>
      </c>
      <c r="E32" s="11">
        <f>IF(YEAR(B31)=YEAR(B32),(B32-B31)/(DATE(YEAR(B31)+1,1,1)-DATE(YEAR(B31),1,1)),(DATE(YEAR(B31)+1,1,1)-B31)/(DATE(YEAR(B31)+1,1,1)-DATE(YEAR(B31),1,1))+(B32-DATE(YEAR(B32),1,1))/(DATE(YEAR(B32)+1,1,1)-DATE(YEAR(B32),1,1))+YEAR(B32)-YEAR(B31)-1)</f>
        <v/>
      </c>
      <c r="F32" s="8">
        <f>K31</f>
        <v/>
      </c>
      <c r="G32" s="7">
        <f>$B$10</f>
        <v/>
      </c>
      <c r="H32" s="8">
        <f>F32*G32*E32</f>
        <v/>
      </c>
      <c r="I32" s="8">
        <f>SUM(H32:H32)</f>
        <v/>
      </c>
      <c r="J32" s="8">
        <f>F32</f>
        <v/>
      </c>
      <c r="K32" s="8">
        <f>F32-J32</f>
        <v/>
      </c>
      <c r="L32" s="7">
        <f>$B$12*$B$15+$B$11</f>
        <v/>
      </c>
      <c r="M32" s="8">
        <f>F32*L32*E32</f>
        <v/>
      </c>
      <c r="N32" s="8">
        <f>SUM(M32:M32)</f>
        <v/>
      </c>
    </row>
    <row r="34">
      <c r="C34" s="2" t="inlineStr">
        <is>
          <t>Итого</t>
        </is>
      </c>
      <c r="I34" s="12">
        <f>SUM(I23:I32)</f>
        <v/>
      </c>
      <c r="J34" s="12">
        <f>SUM(J23:J32)</f>
        <v/>
      </c>
      <c r="N34" s="12">
        <f>SUM(N23:N32)</f>
        <v/>
      </c>
    </row>
    <row r="35">
      <c r="C35" t="inlineStr">
        <is>
          <t>Проверка: тело = B0</t>
        </is>
      </c>
      <c r="J35">
        <f>ROUND(J34-$B$7,2)</f>
        <v/>
      </c>
    </row>
    <row r="36">
      <c r="C36" t="inlineStr">
        <is>
          <t>Проверка: остаток после последнего = 0</t>
        </is>
      </c>
      <c r="K36">
        <f>K32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2026-10-30T21:12:58Z</dcterms:created>
  <dcterms:modified xsi:type="dcterms:W3CDTF">2026-10-30T21:12:58Z</dcterms:modified>
</cp:coreProperties>
</file>