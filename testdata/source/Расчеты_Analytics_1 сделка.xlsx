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0547621-02C9-4D34-A22A-D2DD70660383}" xr6:coauthVersionLast="47" xr6:coauthVersionMax="47" xr10:uidLastSave="{00000000-0000-0000-0000-000000000000}"/>
  <bookViews>
    <workbookView xWindow="-120" yWindow="-120" windowWidth="29040" windowHeight="15840" tabRatio="979" activeTab="4" xr2:uid="{00000000-000D-0000-FFFF-FFFF00000000}"/>
  </bookViews>
  <sheets>
    <sheet name="Тестовый портфель" sheetId="3" r:id="rId1"/>
    <sheet name="Портфель 5 сделок" sheetId="9" r:id="rId2"/>
    <sheet name="КС ЦБ" sheetId="10" r:id="rId3"/>
    <sheet name="Тестовые сделки" sheetId="12" r:id="rId4"/>
    <sheet name="1 сделка" sheetId="13" r:id="rId5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3" l="1"/>
  <c r="F19" i="13"/>
  <c r="H17" i="13"/>
  <c r="G17" i="13"/>
  <c r="F17" i="13"/>
  <c r="I352" i="13"/>
  <c r="H352" i="13"/>
  <c r="I351" i="13"/>
  <c r="H351" i="13"/>
  <c r="I350" i="13"/>
  <c r="H350" i="13"/>
  <c r="I349" i="13"/>
  <c r="H349" i="13"/>
  <c r="I348" i="13"/>
  <c r="H348" i="13"/>
  <c r="I347" i="13"/>
  <c r="H347" i="13"/>
  <c r="I346" i="13"/>
  <c r="H346" i="13"/>
  <c r="I345" i="13"/>
  <c r="H345" i="13"/>
  <c r="I344" i="13"/>
  <c r="H344" i="13"/>
  <c r="I343" i="13"/>
  <c r="H343" i="13"/>
  <c r="I342" i="13"/>
  <c r="H342" i="13"/>
  <c r="I341" i="13"/>
  <c r="H341" i="13"/>
  <c r="I340" i="13"/>
  <c r="H340" i="13"/>
  <c r="I339" i="13"/>
  <c r="H339" i="13"/>
  <c r="I338" i="13"/>
  <c r="H338" i="13"/>
  <c r="I337" i="13"/>
  <c r="H337" i="13"/>
  <c r="I336" i="13"/>
  <c r="H336" i="13"/>
  <c r="I335" i="13"/>
  <c r="H335" i="13"/>
  <c r="I334" i="13"/>
  <c r="H334" i="13"/>
  <c r="I333" i="13"/>
  <c r="H333" i="13"/>
  <c r="I332" i="13"/>
  <c r="H332" i="13"/>
  <c r="I331" i="13"/>
  <c r="H331" i="13"/>
  <c r="I330" i="13"/>
  <c r="H330" i="13"/>
  <c r="I329" i="13"/>
  <c r="H329" i="13"/>
  <c r="I328" i="13"/>
  <c r="H328" i="13"/>
  <c r="I327" i="13"/>
  <c r="H327" i="13"/>
  <c r="I326" i="13"/>
  <c r="H326" i="13"/>
  <c r="I325" i="13"/>
  <c r="H325" i="13"/>
  <c r="I324" i="13"/>
  <c r="H324" i="13"/>
  <c r="I323" i="13"/>
  <c r="H323" i="13"/>
  <c r="I322" i="13"/>
  <c r="H322" i="13"/>
  <c r="I321" i="13"/>
  <c r="H321" i="13"/>
  <c r="I320" i="13"/>
  <c r="H320" i="13"/>
  <c r="I319" i="13"/>
  <c r="H319" i="13"/>
  <c r="I318" i="13"/>
  <c r="H318" i="13"/>
  <c r="I317" i="13"/>
  <c r="H317" i="13"/>
  <c r="I316" i="13"/>
  <c r="H316" i="13"/>
  <c r="I315" i="13"/>
  <c r="H315" i="13"/>
  <c r="I314" i="13"/>
  <c r="H314" i="13"/>
  <c r="I313" i="13"/>
  <c r="H313" i="13"/>
  <c r="I312" i="13"/>
  <c r="H312" i="13"/>
  <c r="I311" i="13"/>
  <c r="H311" i="13"/>
  <c r="I310" i="13"/>
  <c r="H310" i="13"/>
  <c r="I309" i="13"/>
  <c r="H309" i="13"/>
  <c r="I308" i="13"/>
  <c r="H308" i="13"/>
  <c r="I307" i="13"/>
  <c r="H307" i="13"/>
  <c r="I306" i="13"/>
  <c r="H306" i="13"/>
  <c r="I305" i="13"/>
  <c r="H305" i="13"/>
  <c r="I304" i="13"/>
  <c r="H304" i="13"/>
  <c r="I303" i="13"/>
  <c r="H303" i="13"/>
  <c r="I302" i="13"/>
  <c r="H302" i="13"/>
  <c r="I301" i="13"/>
  <c r="H301" i="13"/>
  <c r="I300" i="13"/>
  <c r="H300" i="13"/>
  <c r="I299" i="13"/>
  <c r="H299" i="13"/>
  <c r="I298" i="13"/>
  <c r="H298" i="13"/>
  <c r="I297" i="13"/>
  <c r="H297" i="13"/>
  <c r="I296" i="13"/>
  <c r="H296" i="13"/>
  <c r="I295" i="13"/>
  <c r="H295" i="13"/>
  <c r="I294" i="13"/>
  <c r="H294" i="13"/>
  <c r="I293" i="13"/>
  <c r="H293" i="13"/>
  <c r="I292" i="13"/>
  <c r="H292" i="13"/>
  <c r="I291" i="13"/>
  <c r="H291" i="13"/>
  <c r="I290" i="13"/>
  <c r="H290" i="13"/>
  <c r="I289" i="13"/>
  <c r="H289" i="13"/>
  <c r="I288" i="13"/>
  <c r="H288" i="13"/>
  <c r="I287" i="13"/>
  <c r="H287" i="13"/>
  <c r="I286" i="13"/>
  <c r="H286" i="13"/>
  <c r="I285" i="13"/>
  <c r="H285" i="13"/>
  <c r="I284" i="13"/>
  <c r="H284" i="13"/>
  <c r="I283" i="13"/>
  <c r="H283" i="13"/>
  <c r="I282" i="13"/>
  <c r="H282" i="13"/>
  <c r="I281" i="13"/>
  <c r="H281" i="13"/>
  <c r="I280" i="13"/>
  <c r="H280" i="13"/>
  <c r="I279" i="13"/>
  <c r="H279" i="13"/>
  <c r="I278" i="13"/>
  <c r="H278" i="13"/>
  <c r="I277" i="13"/>
  <c r="H277" i="13"/>
  <c r="I276" i="13"/>
  <c r="H276" i="13"/>
  <c r="I275" i="13"/>
  <c r="H275" i="13"/>
  <c r="I274" i="13"/>
  <c r="H274" i="13"/>
  <c r="I273" i="13"/>
  <c r="H273" i="13"/>
  <c r="I272" i="13"/>
  <c r="H272" i="13"/>
  <c r="I271" i="13"/>
  <c r="H271" i="13"/>
  <c r="I270" i="13"/>
  <c r="H270" i="13"/>
  <c r="I269" i="13"/>
  <c r="H269" i="13"/>
  <c r="I268" i="13"/>
  <c r="H268" i="13"/>
  <c r="I267" i="13"/>
  <c r="H267" i="13"/>
  <c r="I266" i="13"/>
  <c r="H266" i="13"/>
  <c r="I265" i="13"/>
  <c r="H265" i="13"/>
  <c r="I264" i="13"/>
  <c r="H264" i="13"/>
  <c r="I263" i="13"/>
  <c r="H263" i="13"/>
  <c r="I262" i="13"/>
  <c r="H262" i="13"/>
  <c r="I261" i="13"/>
  <c r="H261" i="13"/>
  <c r="I260" i="13"/>
  <c r="H260" i="13"/>
  <c r="I259" i="13"/>
  <c r="H259" i="13"/>
  <c r="I258" i="13"/>
  <c r="H258" i="13"/>
  <c r="I257" i="13"/>
  <c r="H257" i="13"/>
  <c r="I256" i="13"/>
  <c r="H256" i="13"/>
  <c r="I255" i="13"/>
  <c r="H255" i="13"/>
  <c r="I254" i="13"/>
  <c r="H254" i="13"/>
  <c r="I253" i="13"/>
  <c r="H253" i="13"/>
  <c r="I252" i="13"/>
  <c r="H252" i="13"/>
  <c r="I251" i="13"/>
  <c r="H251" i="13"/>
  <c r="I250" i="13"/>
  <c r="H250" i="13"/>
  <c r="I249" i="13"/>
  <c r="H249" i="13"/>
  <c r="I248" i="13"/>
  <c r="H248" i="13"/>
  <c r="I247" i="13"/>
  <c r="H247" i="13"/>
  <c r="I246" i="13"/>
  <c r="H246" i="13"/>
  <c r="I245" i="13"/>
  <c r="H245" i="13"/>
  <c r="I244" i="13"/>
  <c r="H244" i="13"/>
  <c r="I243" i="13"/>
  <c r="H243" i="13"/>
  <c r="I242" i="13"/>
  <c r="H242" i="13"/>
  <c r="I241" i="13"/>
  <c r="H241" i="13"/>
  <c r="I240" i="13"/>
  <c r="H240" i="13"/>
  <c r="I239" i="13"/>
  <c r="H239" i="13"/>
  <c r="I238" i="13"/>
  <c r="H238" i="13"/>
  <c r="I237" i="13"/>
  <c r="H237" i="13"/>
  <c r="I236" i="13"/>
  <c r="H236" i="13"/>
  <c r="I235" i="13"/>
  <c r="H235" i="13"/>
  <c r="I234" i="13"/>
  <c r="H234" i="13"/>
  <c r="I233" i="13"/>
  <c r="H233" i="13"/>
  <c r="I232" i="13"/>
  <c r="H232" i="13"/>
  <c r="I231" i="13"/>
  <c r="H231" i="13"/>
  <c r="I230" i="13"/>
  <c r="H230" i="13"/>
  <c r="I229" i="13"/>
  <c r="H229" i="13"/>
  <c r="I228" i="13"/>
  <c r="H228" i="13"/>
  <c r="I227" i="13"/>
  <c r="H227" i="13"/>
  <c r="I226" i="13"/>
  <c r="H226" i="13"/>
  <c r="I225" i="13"/>
  <c r="H225" i="13"/>
  <c r="I224" i="13"/>
  <c r="H224" i="13"/>
  <c r="I223" i="13"/>
  <c r="H223" i="13"/>
  <c r="I222" i="13"/>
  <c r="H222" i="13"/>
  <c r="I221" i="13"/>
  <c r="H221" i="13"/>
  <c r="I220" i="13"/>
  <c r="H220" i="13"/>
  <c r="I219" i="13"/>
  <c r="H219" i="13"/>
  <c r="I218" i="13"/>
  <c r="H218" i="13"/>
  <c r="I217" i="13"/>
  <c r="H217" i="13"/>
  <c r="I216" i="13"/>
  <c r="H216" i="13"/>
  <c r="I215" i="13"/>
  <c r="H215" i="13"/>
  <c r="I214" i="13"/>
  <c r="H214" i="13"/>
  <c r="I213" i="13"/>
  <c r="H213" i="13"/>
  <c r="I212" i="13"/>
  <c r="H212" i="13"/>
  <c r="I211" i="13"/>
  <c r="H211" i="13"/>
  <c r="I210" i="13"/>
  <c r="H210" i="13"/>
  <c r="I209" i="13"/>
  <c r="H209" i="13"/>
  <c r="I208" i="13"/>
  <c r="H208" i="13"/>
  <c r="I207" i="13"/>
  <c r="H207" i="13"/>
  <c r="I206" i="13"/>
  <c r="H206" i="13"/>
  <c r="I205" i="13"/>
  <c r="H205" i="13"/>
  <c r="I204" i="13"/>
  <c r="H204" i="13"/>
  <c r="I203" i="13"/>
  <c r="H203" i="13"/>
  <c r="I202" i="13"/>
  <c r="H202" i="13"/>
  <c r="I201" i="13"/>
  <c r="H201" i="13"/>
  <c r="I200" i="13"/>
  <c r="H200" i="13"/>
  <c r="I199" i="13"/>
  <c r="H199" i="13"/>
  <c r="I198" i="13"/>
  <c r="H198" i="13"/>
  <c r="I197" i="13"/>
  <c r="H197" i="13"/>
  <c r="I196" i="13"/>
  <c r="H196" i="13"/>
  <c r="I195" i="13"/>
  <c r="H195" i="13"/>
  <c r="I194" i="13"/>
  <c r="H194" i="13"/>
  <c r="I193" i="13"/>
  <c r="H193" i="13"/>
  <c r="I192" i="13"/>
  <c r="H192" i="13"/>
  <c r="I191" i="13"/>
  <c r="H191" i="13"/>
  <c r="I190" i="13"/>
  <c r="H190" i="13"/>
  <c r="I189" i="13"/>
  <c r="H189" i="13"/>
  <c r="I188" i="13"/>
  <c r="H188" i="13"/>
  <c r="I187" i="13"/>
  <c r="H187" i="13"/>
  <c r="I186" i="13"/>
  <c r="H186" i="13"/>
  <c r="I185" i="13"/>
  <c r="H185" i="13"/>
  <c r="I184" i="13"/>
  <c r="H184" i="13"/>
  <c r="I183" i="13"/>
  <c r="H183" i="13"/>
  <c r="I182" i="13"/>
  <c r="H182" i="13"/>
  <c r="I181" i="13"/>
  <c r="H181" i="13"/>
  <c r="I180" i="13"/>
  <c r="H180" i="13"/>
  <c r="I179" i="13"/>
  <c r="H179" i="13"/>
  <c r="I178" i="13"/>
  <c r="H178" i="13"/>
  <c r="I177" i="13"/>
  <c r="H177" i="13"/>
  <c r="I176" i="13"/>
  <c r="H176" i="13"/>
  <c r="I175" i="13"/>
  <c r="H175" i="13"/>
  <c r="I174" i="13"/>
  <c r="H174" i="13"/>
  <c r="I173" i="13"/>
  <c r="H173" i="13"/>
  <c r="I172" i="13"/>
  <c r="H172" i="13"/>
  <c r="I171" i="13"/>
  <c r="H171" i="13"/>
  <c r="I170" i="13"/>
  <c r="H170" i="13"/>
  <c r="I169" i="13"/>
  <c r="H169" i="13"/>
  <c r="I168" i="13"/>
  <c r="H168" i="13"/>
  <c r="I167" i="13"/>
  <c r="H167" i="13"/>
  <c r="I166" i="13"/>
  <c r="H166" i="13"/>
  <c r="I165" i="13"/>
  <c r="H165" i="13"/>
  <c r="I164" i="13"/>
  <c r="H164" i="13"/>
  <c r="I163" i="13"/>
  <c r="H163" i="13"/>
  <c r="I162" i="13"/>
  <c r="H162" i="13"/>
  <c r="I161" i="13"/>
  <c r="H161" i="13"/>
  <c r="I160" i="13"/>
  <c r="H160" i="13"/>
  <c r="I159" i="13"/>
  <c r="H159" i="13"/>
  <c r="I158" i="13"/>
  <c r="H158" i="13"/>
  <c r="I157" i="13"/>
  <c r="H157" i="13"/>
  <c r="I156" i="13"/>
  <c r="H156" i="13"/>
  <c r="I155" i="13"/>
  <c r="H155" i="13"/>
  <c r="I154" i="13"/>
  <c r="H154" i="13"/>
  <c r="I153" i="13"/>
  <c r="H153" i="13"/>
  <c r="I152" i="13"/>
  <c r="H152" i="13"/>
  <c r="I151" i="13"/>
  <c r="H151" i="13"/>
  <c r="I150" i="13"/>
  <c r="H150" i="13"/>
  <c r="I149" i="13"/>
  <c r="H149" i="13"/>
  <c r="I148" i="13"/>
  <c r="H148" i="13"/>
  <c r="I147" i="13"/>
  <c r="H147" i="13"/>
  <c r="I146" i="13"/>
  <c r="H146" i="13"/>
  <c r="I145" i="13"/>
  <c r="H145" i="13"/>
  <c r="I144" i="13"/>
  <c r="H144" i="13"/>
  <c r="I143" i="13"/>
  <c r="H143" i="13"/>
  <c r="I142" i="13"/>
  <c r="H142" i="13"/>
  <c r="I141" i="13"/>
  <c r="H141" i="13"/>
  <c r="I140" i="13"/>
  <c r="H140" i="13"/>
  <c r="I139" i="13"/>
  <c r="H139" i="13"/>
  <c r="I138" i="13"/>
  <c r="H138" i="13"/>
  <c r="I137" i="13"/>
  <c r="H137" i="13"/>
  <c r="I136" i="13"/>
  <c r="H136" i="13"/>
  <c r="I135" i="13"/>
  <c r="H135" i="13"/>
  <c r="I134" i="13"/>
  <c r="H134" i="13"/>
  <c r="I133" i="13"/>
  <c r="H133" i="13"/>
  <c r="I132" i="13"/>
  <c r="H132" i="13"/>
  <c r="I131" i="13"/>
  <c r="H131" i="13"/>
  <c r="I130" i="13"/>
  <c r="H130" i="13"/>
  <c r="I129" i="13"/>
  <c r="H129" i="13"/>
  <c r="I128" i="13"/>
  <c r="H128" i="13"/>
  <c r="I127" i="13"/>
  <c r="H127" i="13"/>
  <c r="I126" i="13"/>
  <c r="H126" i="13"/>
  <c r="I125" i="13"/>
  <c r="H125" i="13"/>
  <c r="I124" i="13"/>
  <c r="H124" i="13"/>
  <c r="I123" i="13"/>
  <c r="H123" i="13"/>
  <c r="I122" i="13"/>
  <c r="H122" i="13"/>
  <c r="I121" i="13"/>
  <c r="H121" i="13"/>
  <c r="I120" i="13"/>
  <c r="H120" i="13"/>
  <c r="I119" i="13"/>
  <c r="H119" i="13"/>
  <c r="I118" i="13"/>
  <c r="H118" i="13"/>
  <c r="I117" i="13"/>
  <c r="H117" i="13"/>
  <c r="I116" i="13"/>
  <c r="H116" i="13"/>
  <c r="I115" i="13"/>
  <c r="H115" i="13"/>
  <c r="I114" i="13"/>
  <c r="H114" i="13"/>
  <c r="I113" i="13"/>
  <c r="H113" i="13"/>
  <c r="I112" i="13"/>
  <c r="H112" i="13"/>
  <c r="I111" i="13"/>
  <c r="H111" i="13"/>
  <c r="I110" i="13"/>
  <c r="H110" i="13"/>
  <c r="I109" i="13"/>
  <c r="H109" i="13"/>
  <c r="I108" i="13"/>
  <c r="H108" i="13"/>
  <c r="I107" i="13"/>
  <c r="H107" i="13"/>
  <c r="I106" i="13"/>
  <c r="H106" i="13"/>
  <c r="I105" i="13"/>
  <c r="H105" i="13"/>
  <c r="I104" i="13"/>
  <c r="H104" i="13"/>
  <c r="I103" i="13"/>
  <c r="H103" i="13"/>
  <c r="I102" i="13"/>
  <c r="H102" i="13"/>
  <c r="I101" i="13"/>
  <c r="H101" i="13"/>
  <c r="I100" i="13"/>
  <c r="H100" i="13"/>
  <c r="I99" i="13"/>
  <c r="H99" i="13"/>
  <c r="I98" i="13"/>
  <c r="H98" i="13"/>
  <c r="I97" i="13"/>
  <c r="H97" i="13"/>
  <c r="I96" i="13"/>
  <c r="H96" i="13"/>
  <c r="I95" i="13"/>
  <c r="H95" i="13"/>
  <c r="I94" i="13"/>
  <c r="H94" i="13"/>
  <c r="I93" i="13"/>
  <c r="H93" i="13"/>
  <c r="I92" i="13"/>
  <c r="H92" i="13"/>
  <c r="I91" i="13"/>
  <c r="H91" i="13"/>
  <c r="I90" i="13"/>
  <c r="H90" i="13"/>
  <c r="I89" i="13"/>
  <c r="H89" i="13"/>
  <c r="I88" i="13"/>
  <c r="H88" i="13"/>
  <c r="I87" i="13"/>
  <c r="H87" i="13"/>
  <c r="I86" i="13"/>
  <c r="H86" i="13"/>
  <c r="I85" i="13"/>
  <c r="H85" i="13"/>
  <c r="I84" i="13"/>
  <c r="H84" i="13"/>
  <c r="I83" i="13"/>
  <c r="H83" i="13"/>
  <c r="I82" i="13"/>
  <c r="H82" i="13"/>
  <c r="I81" i="13"/>
  <c r="H81" i="13"/>
  <c r="I80" i="13"/>
  <c r="H80" i="13"/>
  <c r="I79" i="13"/>
  <c r="H79" i="13"/>
  <c r="I78" i="13"/>
  <c r="H78" i="13"/>
  <c r="I77" i="13"/>
  <c r="H77" i="13"/>
  <c r="I76" i="13"/>
  <c r="H76" i="13"/>
  <c r="I75" i="13"/>
  <c r="H75" i="13"/>
  <c r="I74" i="13"/>
  <c r="H74" i="13"/>
  <c r="I73" i="13"/>
  <c r="H73" i="13"/>
  <c r="I72" i="13"/>
  <c r="H72" i="13"/>
  <c r="I71" i="13"/>
  <c r="H71" i="13"/>
  <c r="I70" i="13"/>
  <c r="H70" i="13"/>
  <c r="I69" i="13"/>
  <c r="H69" i="13"/>
  <c r="I68" i="13"/>
  <c r="H68" i="13"/>
  <c r="I67" i="13"/>
  <c r="H67" i="13"/>
  <c r="I66" i="13"/>
  <c r="H66" i="13"/>
  <c r="I65" i="13"/>
  <c r="H65" i="13"/>
  <c r="I64" i="13"/>
  <c r="H64" i="13"/>
  <c r="I63" i="13"/>
  <c r="H63" i="13"/>
  <c r="I62" i="13"/>
  <c r="H62" i="13"/>
  <c r="I61" i="13"/>
  <c r="H61" i="13"/>
  <c r="I60" i="13"/>
  <c r="H60" i="13"/>
  <c r="I59" i="13"/>
  <c r="H59" i="13"/>
  <c r="I58" i="13"/>
  <c r="H58" i="13"/>
  <c r="I57" i="13"/>
  <c r="H57" i="13"/>
  <c r="I56" i="13"/>
  <c r="H56" i="13"/>
  <c r="I55" i="13"/>
  <c r="H55" i="13"/>
  <c r="I54" i="13"/>
  <c r="H54" i="13"/>
  <c r="I53" i="13"/>
  <c r="H53" i="13"/>
  <c r="I52" i="13"/>
  <c r="H52" i="13"/>
  <c r="I51" i="13"/>
  <c r="H51" i="13"/>
  <c r="I50" i="13"/>
  <c r="H50" i="13"/>
  <c r="I49" i="13"/>
  <c r="H49" i="13"/>
  <c r="I48" i="13"/>
  <c r="H48" i="13"/>
  <c r="I47" i="13"/>
  <c r="H47" i="13"/>
  <c r="I46" i="13"/>
  <c r="H46" i="13"/>
  <c r="I45" i="13"/>
  <c r="H45" i="13"/>
  <c r="I44" i="13"/>
  <c r="H44" i="13"/>
  <c r="I43" i="13"/>
  <c r="H43" i="13"/>
  <c r="I42" i="13"/>
  <c r="H42" i="13"/>
  <c r="I41" i="13"/>
  <c r="H41" i="13"/>
  <c r="I40" i="13"/>
  <c r="H40" i="13"/>
  <c r="I39" i="13"/>
  <c r="H39" i="13"/>
  <c r="I38" i="13"/>
  <c r="H38" i="13"/>
  <c r="I37" i="13"/>
  <c r="H37" i="13"/>
  <c r="I36" i="13"/>
  <c r="H36" i="13"/>
  <c r="I35" i="13"/>
  <c r="H35" i="13"/>
  <c r="I34" i="13"/>
  <c r="H34" i="13"/>
  <c r="I33" i="13"/>
  <c r="H33" i="13"/>
  <c r="I32" i="13"/>
  <c r="H32" i="13"/>
  <c r="I31" i="13"/>
  <c r="H31" i="13"/>
  <c r="I30" i="13"/>
  <c r="H30" i="13"/>
  <c r="I29" i="13"/>
  <c r="H29" i="13"/>
  <c r="I28" i="13"/>
  <c r="H28" i="13"/>
  <c r="I27" i="13"/>
  <c r="H27" i="13"/>
  <c r="I26" i="13"/>
  <c r="H26" i="13"/>
  <c r="I25" i="13"/>
  <c r="H25" i="13"/>
  <c r="I24" i="13"/>
  <c r="H24" i="13"/>
  <c r="I23" i="13"/>
  <c r="H23" i="13"/>
  <c r="I22" i="13"/>
  <c r="H22" i="13"/>
  <c r="I21" i="13"/>
  <c r="H21" i="13"/>
  <c r="I20" i="13"/>
  <c r="H20" i="13"/>
  <c r="I19" i="13"/>
  <c r="H19" i="13"/>
  <c r="B14" i="13"/>
  <c r="B6" i="9"/>
  <c r="B5" i="9"/>
  <c r="B4" i="9"/>
  <c r="B3" i="9"/>
  <c r="B2" i="9"/>
  <c r="B7" i="9" l="1"/>
  <c r="D19" i="13"/>
  <c r="C6" i="9" l="1"/>
  <c r="D6" i="9" l="1"/>
  <c r="C5" i="9" l="1"/>
  <c r="F6" i="9" l="1"/>
  <c r="E6" i="9"/>
  <c r="D5" i="9"/>
  <c r="G6" i="9" l="1"/>
  <c r="E5" i="9"/>
  <c r="F5" i="9"/>
  <c r="G5" i="9" l="1"/>
  <c r="D3" i="9" l="1"/>
  <c r="C3" i="9"/>
  <c r="F3" i="9" l="1"/>
  <c r="E3" i="9"/>
  <c r="G3" i="9" l="1"/>
  <c r="C4" i="9" l="1"/>
  <c r="D4" i="9" l="1"/>
  <c r="E4" i="9" l="1"/>
  <c r="F4" i="9"/>
  <c r="G4" i="9" l="1"/>
  <c r="E19" i="13" l="1"/>
  <c r="F20" i="13" s="1"/>
  <c r="D20" i="13" s="1"/>
  <c r="G20" i="13" l="1"/>
  <c r="G19" i="13"/>
  <c r="L19" i="13" l="1"/>
  <c r="J19" i="13"/>
  <c r="E20" i="13"/>
  <c r="F21" i="13" s="1"/>
  <c r="D21" i="13" s="1"/>
  <c r="L20" i="13"/>
  <c r="J20" i="13"/>
  <c r="G21" i="13" l="1"/>
  <c r="E21" i="13" l="1"/>
  <c r="F22" i="13" s="1"/>
  <c r="L21" i="13"/>
  <c r="J21" i="13"/>
  <c r="D22" i="13" l="1"/>
  <c r="G22" i="13" s="1"/>
  <c r="E22" i="13" l="1"/>
  <c r="F23" i="13" s="1"/>
  <c r="L22" i="13"/>
  <c r="J22" i="13"/>
  <c r="D23" i="13" l="1"/>
  <c r="G23" i="13"/>
  <c r="E23" i="13" l="1"/>
  <c r="F24" i="13" s="1"/>
  <c r="L23" i="13"/>
  <c r="J23" i="13"/>
  <c r="D24" i="13" l="1"/>
  <c r="G24" i="13"/>
  <c r="E24" i="13" l="1"/>
  <c r="F25" i="13" s="1"/>
  <c r="J24" i="13"/>
  <c r="L24" i="13"/>
  <c r="D25" i="13" l="1"/>
  <c r="G25" i="13"/>
  <c r="E25" i="13" l="1"/>
  <c r="F26" i="13" s="1"/>
  <c r="J25" i="13"/>
  <c r="L25" i="13"/>
  <c r="D26" i="13" l="1"/>
  <c r="G26" i="13"/>
  <c r="E26" i="13" l="1"/>
  <c r="J26" i="13"/>
  <c r="L26" i="13"/>
  <c r="F27" i="13" l="1"/>
  <c r="D27" i="13" s="1"/>
  <c r="G27" i="13" l="1"/>
  <c r="E27" i="13"/>
  <c r="F28" i="13" l="1"/>
  <c r="D28" i="13" s="1"/>
  <c r="L27" i="13"/>
  <c r="J27" i="13"/>
  <c r="G28" i="13" l="1"/>
  <c r="E28" i="13"/>
  <c r="F29" i="13" l="1"/>
  <c r="D29" i="13" s="1"/>
  <c r="L28" i="13"/>
  <c r="J28" i="13"/>
  <c r="G29" i="13" l="1"/>
  <c r="E29" i="13"/>
  <c r="F30" i="13" l="1"/>
  <c r="D30" i="13" s="1"/>
  <c r="J29" i="13"/>
  <c r="L29" i="13"/>
  <c r="G30" i="13" l="1"/>
  <c r="E30" i="13"/>
  <c r="F31" i="13" l="1"/>
  <c r="D31" i="13" s="1"/>
  <c r="L30" i="13"/>
  <c r="J30" i="13"/>
  <c r="G31" i="13" l="1"/>
  <c r="E31" i="13"/>
  <c r="F32" i="13" l="1"/>
  <c r="D32" i="13" s="1"/>
  <c r="L31" i="13"/>
  <c r="J31" i="13"/>
  <c r="G32" i="13" l="1"/>
  <c r="E32" i="13"/>
  <c r="F33" i="13" l="1"/>
  <c r="D33" i="13" s="1"/>
  <c r="J32" i="13"/>
  <c r="L32" i="13"/>
  <c r="G33" i="13" l="1"/>
  <c r="E33" i="13"/>
  <c r="F34" i="13" l="1"/>
  <c r="D34" i="13" s="1"/>
  <c r="L33" i="13"/>
  <c r="J33" i="13"/>
  <c r="G34" i="13" l="1"/>
  <c r="E34" i="13"/>
  <c r="D35" i="13" l="1"/>
  <c r="G35" i="13" s="1"/>
  <c r="L34" i="13"/>
  <c r="J34" i="13"/>
  <c r="E35" i="13" l="1"/>
  <c r="F36" i="13"/>
  <c r="D36" i="13" s="1"/>
  <c r="J35" i="13"/>
  <c r="L35" i="13"/>
  <c r="G36" i="13" l="1"/>
  <c r="E36" i="13"/>
  <c r="F37" i="13" l="1"/>
  <c r="D37" i="13" s="1"/>
  <c r="L36" i="13"/>
  <c r="J36" i="13"/>
  <c r="G37" i="13" l="1"/>
  <c r="E37" i="13"/>
  <c r="F38" i="13" l="1"/>
  <c r="D38" i="13" s="1"/>
  <c r="J37" i="13"/>
  <c r="L37" i="13"/>
  <c r="G38" i="13" l="1"/>
  <c r="E38" i="13"/>
  <c r="F39" i="13" l="1"/>
  <c r="D39" i="13" s="1"/>
  <c r="L38" i="13"/>
  <c r="J38" i="13"/>
  <c r="G39" i="13" l="1"/>
  <c r="E39" i="13"/>
  <c r="F40" i="13" l="1"/>
  <c r="D40" i="13" s="1"/>
  <c r="J39" i="13"/>
  <c r="L39" i="13"/>
  <c r="G40" i="13" l="1"/>
  <c r="E40" i="13"/>
  <c r="F41" i="13" l="1"/>
  <c r="D41" i="13" s="1"/>
  <c r="J40" i="13"/>
  <c r="L40" i="13"/>
  <c r="G41" i="13" l="1"/>
  <c r="E41" i="13"/>
  <c r="F42" i="13" l="1"/>
  <c r="D42" i="13" s="1"/>
  <c r="L41" i="13"/>
  <c r="J41" i="13"/>
  <c r="G42" i="13" l="1"/>
  <c r="E42" i="13"/>
  <c r="F43" i="13" l="1"/>
  <c r="D43" i="13" s="1"/>
  <c r="J42" i="13"/>
  <c r="L42" i="13"/>
  <c r="G43" i="13" l="1"/>
  <c r="E43" i="13"/>
  <c r="F44" i="13" l="1"/>
  <c r="D44" i="13" s="1"/>
  <c r="L43" i="13"/>
  <c r="J43" i="13"/>
  <c r="G44" i="13" l="1"/>
  <c r="E44" i="13"/>
  <c r="F45" i="13" l="1"/>
  <c r="D45" i="13" s="1"/>
  <c r="J44" i="13"/>
  <c r="L44" i="13"/>
  <c r="G45" i="13" l="1"/>
  <c r="E45" i="13"/>
  <c r="F46" i="13" l="1"/>
  <c r="D46" i="13" s="1"/>
  <c r="J45" i="13"/>
  <c r="L45" i="13"/>
  <c r="G46" i="13" l="1"/>
  <c r="E46" i="13"/>
  <c r="F47" i="13" l="1"/>
  <c r="D47" i="13" s="1"/>
  <c r="J46" i="13"/>
  <c r="L46" i="13"/>
  <c r="G47" i="13" l="1"/>
  <c r="E47" i="13"/>
  <c r="F48" i="13" l="1"/>
  <c r="D48" i="13" s="1"/>
  <c r="L47" i="13"/>
  <c r="J47" i="13"/>
  <c r="G48" i="13" l="1"/>
  <c r="E48" i="13"/>
  <c r="F49" i="13" l="1"/>
  <c r="D49" i="13" s="1"/>
  <c r="J48" i="13"/>
  <c r="L48" i="13"/>
  <c r="G49" i="13" l="1"/>
  <c r="E49" i="13"/>
  <c r="F50" i="13" l="1"/>
  <c r="D50" i="13" s="1"/>
  <c r="G50" i="13" s="1"/>
  <c r="J49" i="13"/>
  <c r="L49" i="13"/>
  <c r="E50" i="13" l="1"/>
  <c r="F51" i="13"/>
  <c r="D51" i="13" s="1"/>
  <c r="L50" i="13"/>
  <c r="J50" i="13"/>
  <c r="G51" i="13" l="1"/>
  <c r="E51" i="13"/>
  <c r="F52" i="13" l="1"/>
  <c r="D52" i="13" s="1"/>
  <c r="J51" i="13"/>
  <c r="L51" i="13"/>
  <c r="G52" i="13" l="1"/>
  <c r="E52" i="13"/>
  <c r="F53" i="13" l="1"/>
  <c r="D53" i="13" s="1"/>
  <c r="L52" i="13"/>
  <c r="J52" i="13"/>
  <c r="G53" i="13" l="1"/>
  <c r="E53" i="13"/>
  <c r="F54" i="13" l="1"/>
  <c r="D54" i="13" s="1"/>
  <c r="J53" i="13"/>
  <c r="L53" i="13"/>
  <c r="G54" i="13" l="1"/>
  <c r="E54" i="13"/>
  <c r="F55" i="13" l="1"/>
  <c r="D55" i="13" s="1"/>
  <c r="J54" i="13"/>
  <c r="L54" i="13"/>
  <c r="G55" i="13" l="1"/>
  <c r="E55" i="13"/>
  <c r="F56" i="13" l="1"/>
  <c r="D56" i="13" s="1"/>
  <c r="J55" i="13"/>
  <c r="L55" i="13"/>
  <c r="G56" i="13" l="1"/>
  <c r="E56" i="13"/>
  <c r="F57" i="13" l="1"/>
  <c r="D57" i="13" s="1"/>
  <c r="J56" i="13"/>
  <c r="L56" i="13"/>
  <c r="G57" i="13" l="1"/>
  <c r="E57" i="13"/>
  <c r="F58" i="13" l="1"/>
  <c r="D58" i="13" s="1"/>
  <c r="J57" i="13"/>
  <c r="L57" i="13"/>
  <c r="G58" i="13" l="1"/>
  <c r="E58" i="13"/>
  <c r="F59" i="13" l="1"/>
  <c r="D59" i="13" s="1"/>
  <c r="J58" i="13"/>
  <c r="L58" i="13"/>
  <c r="G59" i="13" l="1"/>
  <c r="E59" i="13"/>
  <c r="F60" i="13" l="1"/>
  <c r="D60" i="13" s="1"/>
  <c r="J59" i="13"/>
  <c r="L59" i="13"/>
  <c r="G60" i="13" l="1"/>
  <c r="E60" i="13"/>
  <c r="F61" i="13" l="1"/>
  <c r="D61" i="13" s="1"/>
  <c r="L60" i="13"/>
  <c r="J60" i="13"/>
  <c r="G61" i="13" l="1"/>
  <c r="E61" i="13"/>
  <c r="F62" i="13" l="1"/>
  <c r="D62" i="13" s="1"/>
  <c r="J61" i="13"/>
  <c r="L61" i="13"/>
  <c r="G62" i="13" l="1"/>
  <c r="E62" i="13"/>
  <c r="F63" i="13" l="1"/>
  <c r="D63" i="13" s="1"/>
  <c r="L62" i="13"/>
  <c r="J62" i="13"/>
  <c r="G63" i="13" l="1"/>
  <c r="E63" i="13"/>
  <c r="F64" i="13" l="1"/>
  <c r="D64" i="13" s="1"/>
  <c r="J63" i="13"/>
  <c r="L63" i="13"/>
  <c r="G64" i="13" l="1"/>
  <c r="E64" i="13"/>
  <c r="F65" i="13" l="1"/>
  <c r="D65" i="13" s="1"/>
  <c r="J64" i="13"/>
  <c r="L64" i="13"/>
  <c r="G65" i="13" l="1"/>
  <c r="E65" i="13"/>
  <c r="F66" i="13" l="1"/>
  <c r="D66" i="13" s="1"/>
  <c r="L65" i="13"/>
  <c r="J65" i="13"/>
  <c r="G66" i="13" l="1"/>
  <c r="E66" i="13"/>
  <c r="F67" i="13" l="1"/>
  <c r="D67" i="13" s="1"/>
  <c r="J66" i="13"/>
  <c r="L66" i="13"/>
  <c r="G67" i="13" l="1"/>
  <c r="E67" i="13"/>
  <c r="F68" i="13" l="1"/>
  <c r="D68" i="13" s="1"/>
  <c r="L67" i="13"/>
  <c r="J67" i="13"/>
  <c r="G68" i="13" l="1"/>
  <c r="E68" i="13"/>
  <c r="F69" i="13" l="1"/>
  <c r="D69" i="13" s="1"/>
  <c r="J68" i="13"/>
  <c r="L68" i="13"/>
  <c r="G69" i="13" l="1"/>
  <c r="E69" i="13"/>
  <c r="F70" i="13" l="1"/>
  <c r="D70" i="13" s="1"/>
  <c r="J69" i="13"/>
  <c r="L69" i="13"/>
  <c r="G70" i="13" l="1"/>
  <c r="E70" i="13"/>
  <c r="F71" i="13" l="1"/>
  <c r="D71" i="13" s="1"/>
  <c r="J70" i="13"/>
  <c r="L70" i="13"/>
  <c r="G71" i="13" l="1"/>
  <c r="E71" i="13"/>
  <c r="F72" i="13" l="1"/>
  <c r="D72" i="13" s="1"/>
  <c r="J71" i="13"/>
  <c r="L71" i="13"/>
  <c r="G72" i="13" l="1"/>
  <c r="E72" i="13"/>
  <c r="F73" i="13" l="1"/>
  <c r="D73" i="13" s="1"/>
  <c r="L72" i="13"/>
  <c r="J72" i="13"/>
  <c r="G73" i="13" l="1"/>
  <c r="E73" i="13"/>
  <c r="F74" i="13" l="1"/>
  <c r="D74" i="13" s="1"/>
  <c r="J73" i="13"/>
  <c r="L73" i="13"/>
  <c r="G74" i="13" l="1"/>
  <c r="E74" i="13"/>
  <c r="F75" i="13" l="1"/>
  <c r="D75" i="13" s="1"/>
  <c r="L74" i="13"/>
  <c r="J74" i="13"/>
  <c r="G75" i="13" l="1"/>
  <c r="E75" i="13"/>
  <c r="F76" i="13" l="1"/>
  <c r="D76" i="13" s="1"/>
  <c r="L75" i="13"/>
  <c r="J75" i="13"/>
  <c r="G76" i="13" l="1"/>
  <c r="E76" i="13"/>
  <c r="F77" i="13" l="1"/>
  <c r="D77" i="13" s="1"/>
  <c r="J76" i="13"/>
  <c r="L76" i="13"/>
  <c r="G77" i="13" l="1"/>
  <c r="E77" i="13"/>
  <c r="F78" i="13" l="1"/>
  <c r="D78" i="13" s="1"/>
  <c r="L77" i="13"/>
  <c r="J77" i="13"/>
  <c r="G78" i="13" l="1"/>
  <c r="E78" i="13"/>
  <c r="F79" i="13" l="1"/>
  <c r="D79" i="13" s="1"/>
  <c r="L78" i="13"/>
  <c r="J78" i="13"/>
  <c r="G79" i="13" l="1"/>
  <c r="E79" i="13"/>
  <c r="F80" i="13" l="1"/>
  <c r="D80" i="13" s="1"/>
  <c r="J79" i="13"/>
  <c r="L79" i="13"/>
  <c r="G80" i="13" l="1"/>
  <c r="E80" i="13"/>
  <c r="F81" i="13" l="1"/>
  <c r="D81" i="13" s="1"/>
  <c r="L80" i="13"/>
  <c r="J80" i="13"/>
  <c r="G81" i="13" l="1"/>
  <c r="E81" i="13"/>
  <c r="F82" i="13" l="1"/>
  <c r="D82" i="13" s="1"/>
  <c r="G82" i="13" s="1"/>
  <c r="J81" i="13"/>
  <c r="L81" i="13"/>
  <c r="E82" i="13" l="1"/>
  <c r="L82" i="13"/>
  <c r="J82" i="13"/>
  <c r="F83" i="13" l="1"/>
  <c r="D83" i="13" s="1"/>
  <c r="G83" i="13" l="1"/>
  <c r="E83" i="13"/>
  <c r="F84" i="13" l="1"/>
  <c r="D84" i="13" s="1"/>
  <c r="J83" i="13"/>
  <c r="L83" i="13"/>
  <c r="G84" i="13" l="1"/>
  <c r="E84" i="13"/>
  <c r="F85" i="13" l="1"/>
  <c r="D85" i="13" s="1"/>
  <c r="J84" i="13"/>
  <c r="L84" i="13"/>
  <c r="G85" i="13" l="1"/>
  <c r="E85" i="13"/>
  <c r="F86" i="13" l="1"/>
  <c r="D86" i="13" s="1"/>
  <c r="G86" i="13" s="1"/>
  <c r="J85" i="13"/>
  <c r="L85" i="13"/>
  <c r="E86" i="13" l="1"/>
  <c r="L86" i="13"/>
  <c r="J86" i="13"/>
  <c r="F87" i="13" l="1"/>
  <c r="D87" i="13" s="1"/>
  <c r="G87" i="13" l="1"/>
  <c r="E87" i="13"/>
  <c r="F88" i="13" l="1"/>
  <c r="D88" i="13" s="1"/>
  <c r="L87" i="13"/>
  <c r="J87" i="13"/>
  <c r="G88" i="13" l="1"/>
  <c r="E88" i="13"/>
  <c r="F89" i="13" l="1"/>
  <c r="D89" i="13" s="1"/>
  <c r="J88" i="13"/>
  <c r="L88" i="13"/>
  <c r="G89" i="13" l="1"/>
  <c r="E89" i="13"/>
  <c r="F90" i="13" l="1"/>
  <c r="D90" i="13" s="1"/>
  <c r="J89" i="13"/>
  <c r="L89" i="13"/>
  <c r="G90" i="13" l="1"/>
  <c r="E90" i="13"/>
  <c r="F91" i="13" l="1"/>
  <c r="D91" i="13" s="1"/>
  <c r="G91" i="13" s="1"/>
  <c r="L90" i="13"/>
  <c r="J90" i="13"/>
  <c r="E91" i="13" l="1"/>
  <c r="F92" i="13" s="1"/>
  <c r="D92" i="13" s="1"/>
  <c r="L91" i="13"/>
  <c r="J91" i="13"/>
  <c r="G92" i="13" l="1"/>
  <c r="E92" i="13"/>
  <c r="F93" i="13" l="1"/>
  <c r="D93" i="13" s="1"/>
  <c r="L92" i="13"/>
  <c r="J92" i="13"/>
  <c r="G93" i="13" l="1"/>
  <c r="E93" i="13"/>
  <c r="F94" i="13" l="1"/>
  <c r="D94" i="13" s="1"/>
  <c r="L93" i="13"/>
  <c r="J93" i="13"/>
  <c r="G94" i="13" l="1"/>
  <c r="E94" i="13"/>
  <c r="F95" i="13" l="1"/>
  <c r="D95" i="13" s="1"/>
  <c r="L94" i="13"/>
  <c r="J94" i="13"/>
  <c r="G95" i="13" l="1"/>
  <c r="E95" i="13"/>
  <c r="F96" i="13" l="1"/>
  <c r="D96" i="13" s="1"/>
  <c r="J95" i="13"/>
  <c r="L95" i="13"/>
  <c r="G96" i="13" l="1"/>
  <c r="E96" i="13"/>
  <c r="F97" i="13" l="1"/>
  <c r="D97" i="13" s="1"/>
  <c r="L96" i="13"/>
  <c r="J96" i="13"/>
  <c r="G97" i="13" l="1"/>
  <c r="E97" i="13"/>
  <c r="F98" i="13" l="1"/>
  <c r="D98" i="13" s="1"/>
  <c r="L97" i="13"/>
  <c r="J97" i="13"/>
  <c r="G98" i="13" l="1"/>
  <c r="E98" i="13"/>
  <c r="F99" i="13" l="1"/>
  <c r="D99" i="13" s="1"/>
  <c r="J98" i="13"/>
  <c r="L98" i="13"/>
  <c r="G99" i="13" l="1"/>
  <c r="E99" i="13"/>
  <c r="F100" i="13" l="1"/>
  <c r="D100" i="13" s="1"/>
  <c r="L99" i="13"/>
  <c r="J99" i="13"/>
  <c r="G100" i="13" l="1"/>
  <c r="E100" i="13"/>
  <c r="F101" i="13" l="1"/>
  <c r="D101" i="13" s="1"/>
  <c r="J100" i="13"/>
  <c r="L100" i="13"/>
  <c r="G101" i="13" l="1"/>
  <c r="E101" i="13"/>
  <c r="F102" i="13" l="1"/>
  <c r="D102" i="13" s="1"/>
  <c r="J101" i="13"/>
  <c r="L101" i="13"/>
  <c r="G102" i="13" l="1"/>
  <c r="E102" i="13"/>
  <c r="F103" i="13" l="1"/>
  <c r="D103" i="13" s="1"/>
  <c r="L102" i="13"/>
  <c r="J102" i="13"/>
  <c r="G103" i="13" l="1"/>
  <c r="E103" i="13"/>
  <c r="F104" i="13" l="1"/>
  <c r="D104" i="13" s="1"/>
  <c r="J103" i="13"/>
  <c r="L103" i="13"/>
  <c r="G104" i="13" l="1"/>
  <c r="E104" i="13"/>
  <c r="F105" i="13" l="1"/>
  <c r="D105" i="13" s="1"/>
  <c r="J104" i="13"/>
  <c r="L104" i="13"/>
  <c r="G105" i="13" l="1"/>
  <c r="E105" i="13"/>
  <c r="F106" i="13" l="1"/>
  <c r="D106" i="13" s="1"/>
  <c r="L105" i="13"/>
  <c r="J105" i="13"/>
  <c r="G106" i="13" l="1"/>
  <c r="E106" i="13"/>
  <c r="F107" i="13" l="1"/>
  <c r="D107" i="13" s="1"/>
  <c r="L106" i="13"/>
  <c r="J106" i="13"/>
  <c r="G107" i="13" l="1"/>
  <c r="E107" i="13"/>
  <c r="F108" i="13" l="1"/>
  <c r="D108" i="13" s="1"/>
  <c r="J107" i="13"/>
  <c r="L107" i="13"/>
  <c r="G108" i="13" l="1"/>
  <c r="E108" i="13"/>
  <c r="F109" i="13" l="1"/>
  <c r="D109" i="13" s="1"/>
  <c r="J108" i="13"/>
  <c r="L108" i="13"/>
  <c r="G109" i="13" l="1"/>
  <c r="E109" i="13"/>
  <c r="F110" i="13" l="1"/>
  <c r="D110" i="13" s="1"/>
  <c r="L109" i="13"/>
  <c r="J109" i="13"/>
  <c r="G110" i="13" l="1"/>
  <c r="E110" i="13"/>
  <c r="F111" i="13" l="1"/>
  <c r="D111" i="13" s="1"/>
  <c r="J110" i="13"/>
  <c r="L110" i="13"/>
  <c r="G111" i="13" l="1"/>
  <c r="E111" i="13"/>
  <c r="F112" i="13" l="1"/>
  <c r="D112" i="13" s="1"/>
  <c r="L111" i="13"/>
  <c r="J111" i="13"/>
  <c r="G112" i="13" l="1"/>
  <c r="E112" i="13"/>
  <c r="F113" i="13" l="1"/>
  <c r="D113" i="13" s="1"/>
  <c r="L112" i="13"/>
  <c r="J112" i="13"/>
  <c r="G113" i="13" l="1"/>
  <c r="E113" i="13"/>
  <c r="F114" i="13" l="1"/>
  <c r="D114" i="13" s="1"/>
  <c r="L113" i="13"/>
  <c r="J113" i="13"/>
  <c r="G114" i="13" l="1"/>
  <c r="E114" i="13"/>
  <c r="F115" i="13" l="1"/>
  <c r="D115" i="13" s="1"/>
  <c r="J114" i="13"/>
  <c r="L114" i="13"/>
  <c r="G115" i="13" l="1"/>
  <c r="E115" i="13"/>
  <c r="F116" i="13" l="1"/>
  <c r="D116" i="13" s="1"/>
  <c r="L115" i="13"/>
  <c r="J115" i="13"/>
  <c r="G116" i="13" l="1"/>
  <c r="E116" i="13"/>
  <c r="F117" i="13" l="1"/>
  <c r="D117" i="13" s="1"/>
  <c r="L116" i="13"/>
  <c r="J116" i="13"/>
  <c r="G117" i="13" l="1"/>
  <c r="E117" i="13"/>
  <c r="F118" i="13" l="1"/>
  <c r="D118" i="13" s="1"/>
  <c r="L117" i="13"/>
  <c r="J117" i="13"/>
  <c r="G118" i="13" l="1"/>
  <c r="E118" i="13"/>
  <c r="F119" i="13" l="1"/>
  <c r="D119" i="13" s="1"/>
  <c r="J118" i="13"/>
  <c r="L118" i="13"/>
  <c r="G119" i="13" l="1"/>
  <c r="E119" i="13"/>
  <c r="F120" i="13" l="1"/>
  <c r="D120" i="13" s="1"/>
  <c r="L119" i="13"/>
  <c r="J119" i="13"/>
  <c r="G120" i="13" l="1"/>
  <c r="E120" i="13"/>
  <c r="F121" i="13" l="1"/>
  <c r="D121" i="13" s="1"/>
  <c r="L120" i="13"/>
  <c r="J120" i="13"/>
  <c r="G121" i="13" l="1"/>
  <c r="E121" i="13"/>
  <c r="F122" i="13" l="1"/>
  <c r="D122" i="13" s="1"/>
  <c r="L121" i="13"/>
  <c r="J121" i="13"/>
  <c r="G122" i="13" l="1"/>
  <c r="E122" i="13"/>
  <c r="F123" i="13" l="1"/>
  <c r="D123" i="13" s="1"/>
  <c r="J122" i="13"/>
  <c r="L122" i="13"/>
  <c r="G123" i="13" l="1"/>
  <c r="E123" i="13"/>
  <c r="F124" i="13" l="1"/>
  <c r="D124" i="13" s="1"/>
  <c r="J123" i="13"/>
  <c r="L123" i="13"/>
  <c r="G124" i="13" l="1"/>
  <c r="E124" i="13"/>
  <c r="F125" i="13" l="1"/>
  <c r="D125" i="13" s="1"/>
  <c r="L124" i="13"/>
  <c r="J124" i="13"/>
  <c r="G125" i="13" l="1"/>
  <c r="E125" i="13"/>
  <c r="F126" i="13" l="1"/>
  <c r="D126" i="13" s="1"/>
  <c r="L125" i="13"/>
  <c r="J125" i="13"/>
  <c r="G126" i="13" l="1"/>
  <c r="E126" i="13"/>
  <c r="F127" i="13" l="1"/>
  <c r="D127" i="13" s="1"/>
  <c r="J126" i="13"/>
  <c r="L126" i="13"/>
  <c r="G127" i="13" l="1"/>
  <c r="E127" i="13"/>
  <c r="F128" i="13" l="1"/>
  <c r="D128" i="13" s="1"/>
  <c r="L127" i="13"/>
  <c r="J127" i="13"/>
  <c r="G128" i="13" l="1"/>
  <c r="E128" i="13"/>
  <c r="F129" i="13" l="1"/>
  <c r="D129" i="13" s="1"/>
  <c r="J128" i="13"/>
  <c r="L128" i="13"/>
  <c r="G129" i="13" l="1"/>
  <c r="E129" i="13"/>
  <c r="F130" i="13" l="1"/>
  <c r="D130" i="13" s="1"/>
  <c r="J129" i="13"/>
  <c r="L129" i="13"/>
  <c r="G130" i="13" l="1"/>
  <c r="E130" i="13"/>
  <c r="F131" i="13" l="1"/>
  <c r="D131" i="13" s="1"/>
  <c r="L130" i="13"/>
  <c r="J130" i="13"/>
  <c r="G131" i="13" l="1"/>
  <c r="E131" i="13"/>
  <c r="F132" i="13" l="1"/>
  <c r="D132" i="13" s="1"/>
  <c r="L131" i="13"/>
  <c r="J131" i="13"/>
  <c r="G132" i="13" l="1"/>
  <c r="E132" i="13"/>
  <c r="F133" i="13" l="1"/>
  <c r="D133" i="13" s="1"/>
  <c r="J132" i="13"/>
  <c r="L132" i="13"/>
  <c r="G133" i="13" l="1"/>
  <c r="E133" i="13"/>
  <c r="F134" i="13" l="1"/>
  <c r="D134" i="13" s="1"/>
  <c r="J133" i="13"/>
  <c r="L133" i="13"/>
  <c r="G134" i="13" l="1"/>
  <c r="E134" i="13"/>
  <c r="F135" i="13" l="1"/>
  <c r="D135" i="13" s="1"/>
  <c r="L134" i="13"/>
  <c r="J134" i="13"/>
  <c r="G135" i="13" l="1"/>
  <c r="E135" i="13"/>
  <c r="F136" i="13" l="1"/>
  <c r="D136" i="13" s="1"/>
  <c r="L135" i="13"/>
  <c r="J135" i="13"/>
  <c r="G136" i="13" l="1"/>
  <c r="E136" i="13"/>
  <c r="F137" i="13" l="1"/>
  <c r="D137" i="13" s="1"/>
  <c r="L136" i="13"/>
  <c r="J136" i="13"/>
  <c r="G137" i="13" l="1"/>
  <c r="E137" i="13"/>
  <c r="F138" i="13" l="1"/>
  <c r="D138" i="13" s="1"/>
  <c r="L137" i="13"/>
  <c r="J137" i="13"/>
  <c r="G138" i="13" l="1"/>
  <c r="E138" i="13"/>
  <c r="F139" i="13" l="1"/>
  <c r="D139" i="13" s="1"/>
  <c r="G139" i="13" s="1"/>
  <c r="L138" i="13"/>
  <c r="J138" i="13"/>
  <c r="E139" i="13" l="1"/>
  <c r="L139" i="13"/>
  <c r="J139" i="13"/>
  <c r="F140" i="13" l="1"/>
  <c r="D140" i="13" s="1"/>
  <c r="G140" i="13" l="1"/>
  <c r="E140" i="13"/>
  <c r="F141" i="13" l="1"/>
  <c r="D141" i="13" s="1"/>
  <c r="J140" i="13"/>
  <c r="L140" i="13"/>
  <c r="G141" i="13" l="1"/>
  <c r="E141" i="13"/>
  <c r="F142" i="13" l="1"/>
  <c r="D142" i="13" s="1"/>
  <c r="L141" i="13"/>
  <c r="J141" i="13"/>
  <c r="G142" i="13" l="1"/>
  <c r="E142" i="13"/>
  <c r="F143" i="13" l="1"/>
  <c r="D143" i="13" s="1"/>
  <c r="G143" i="13" s="1"/>
  <c r="J142" i="13"/>
  <c r="L142" i="13"/>
  <c r="E143" i="13" l="1"/>
  <c r="J143" i="13"/>
  <c r="L143" i="13"/>
  <c r="F144" i="13" l="1"/>
  <c r="D144" i="13" s="1"/>
  <c r="G144" i="13" l="1"/>
  <c r="E144" i="13"/>
  <c r="F145" i="13" s="1"/>
  <c r="D145" i="13" s="1"/>
  <c r="E145" i="13" l="1"/>
  <c r="G145" i="13"/>
  <c r="J144" i="13"/>
  <c r="L144" i="13"/>
  <c r="J145" i="13" l="1"/>
  <c r="L145" i="13"/>
  <c r="F146" i="13"/>
  <c r="D146" i="13" s="1"/>
  <c r="G146" i="13" l="1"/>
  <c r="E146" i="13"/>
  <c r="F147" i="13" l="1"/>
  <c r="D147" i="13" s="1"/>
  <c r="G147" i="13" s="1"/>
  <c r="E147" i="13"/>
  <c r="J146" i="13"/>
  <c r="L146" i="13"/>
  <c r="F148" i="13" l="1"/>
  <c r="D148" i="13" s="1"/>
  <c r="J147" i="13"/>
  <c r="L147" i="13"/>
  <c r="G148" i="13" l="1"/>
  <c r="E148" i="13"/>
  <c r="F149" i="13" l="1"/>
  <c r="D149" i="13" s="1"/>
  <c r="G149" i="13" s="1"/>
  <c r="J148" i="13"/>
  <c r="L148" i="13"/>
  <c r="E149" i="13" l="1"/>
  <c r="F150" i="13" s="1"/>
  <c r="D150" i="13" s="1"/>
  <c r="E150" i="13" s="1"/>
  <c r="G150" i="13"/>
  <c r="L149" i="13"/>
  <c r="J149" i="13"/>
  <c r="L150" i="13" l="1"/>
  <c r="J150" i="13"/>
  <c r="F151" i="13"/>
  <c r="D151" i="13" s="1"/>
  <c r="G151" i="13" l="1"/>
  <c r="E151" i="13"/>
  <c r="F152" i="13" l="1"/>
  <c r="D152" i="13" s="1"/>
  <c r="L151" i="13"/>
  <c r="J151" i="13"/>
  <c r="G152" i="13" l="1"/>
  <c r="E152" i="13"/>
  <c r="F153" i="13" l="1"/>
  <c r="D153" i="13" s="1"/>
  <c r="L152" i="13"/>
  <c r="J152" i="13"/>
  <c r="G153" i="13" l="1"/>
  <c r="E153" i="13"/>
  <c r="F154" i="13" l="1"/>
  <c r="D154" i="13" s="1"/>
  <c r="L153" i="13"/>
  <c r="J153" i="13"/>
  <c r="G154" i="13" l="1"/>
  <c r="E154" i="13"/>
  <c r="F155" i="13" l="1"/>
  <c r="D155" i="13" s="1"/>
  <c r="G155" i="13" s="1"/>
  <c r="E155" i="13"/>
  <c r="L154" i="13"/>
  <c r="J154" i="13"/>
  <c r="F156" i="13" l="1"/>
  <c r="D156" i="13" s="1"/>
  <c r="L155" i="13"/>
  <c r="J155" i="13"/>
  <c r="G156" i="13" l="1"/>
  <c r="E156" i="13"/>
  <c r="F157" i="13" l="1"/>
  <c r="D157" i="13" s="1"/>
  <c r="J156" i="13"/>
  <c r="L156" i="13"/>
  <c r="G157" i="13" l="1"/>
  <c r="E157" i="13"/>
  <c r="F158" i="13" l="1"/>
  <c r="D158" i="13" s="1"/>
  <c r="L157" i="13"/>
  <c r="J157" i="13"/>
  <c r="G158" i="13" l="1"/>
  <c r="E158" i="13"/>
  <c r="F159" i="13" l="1"/>
  <c r="D159" i="13" s="1"/>
  <c r="J158" i="13"/>
  <c r="L158" i="13"/>
  <c r="G159" i="13" l="1"/>
  <c r="E159" i="13"/>
  <c r="F160" i="13" l="1"/>
  <c r="D160" i="13" s="1"/>
  <c r="L159" i="13"/>
  <c r="J159" i="13"/>
  <c r="G160" i="13" l="1"/>
  <c r="E160" i="13"/>
  <c r="F161" i="13" l="1"/>
  <c r="D161" i="13" s="1"/>
  <c r="J160" i="13"/>
  <c r="L160" i="13"/>
  <c r="G161" i="13" l="1"/>
  <c r="E161" i="13"/>
  <c r="F162" i="13" l="1"/>
  <c r="D162" i="13" s="1"/>
  <c r="J161" i="13"/>
  <c r="L161" i="13"/>
  <c r="G162" i="13" l="1"/>
  <c r="E162" i="13"/>
  <c r="F163" i="13" l="1"/>
  <c r="D163" i="13" s="1"/>
  <c r="L162" i="13"/>
  <c r="J162" i="13"/>
  <c r="G163" i="13" l="1"/>
  <c r="E163" i="13"/>
  <c r="F164" i="13" l="1"/>
  <c r="D164" i="13" s="1"/>
  <c r="J163" i="13"/>
  <c r="L163" i="13"/>
  <c r="G164" i="13" l="1"/>
  <c r="E164" i="13"/>
  <c r="F165" i="13" l="1"/>
  <c r="D165" i="13" s="1"/>
  <c r="L164" i="13"/>
  <c r="J164" i="13"/>
  <c r="G165" i="13" l="1"/>
  <c r="E165" i="13"/>
  <c r="F166" i="13" l="1"/>
  <c r="D166" i="13" s="1"/>
  <c r="L165" i="13"/>
  <c r="J165" i="13"/>
  <c r="G166" i="13" l="1"/>
  <c r="E166" i="13"/>
  <c r="F167" i="13" l="1"/>
  <c r="D167" i="13" s="1"/>
  <c r="J166" i="13"/>
  <c r="L166" i="13"/>
  <c r="G167" i="13" l="1"/>
  <c r="E167" i="13"/>
  <c r="F168" i="13" l="1"/>
  <c r="D168" i="13" s="1"/>
  <c r="L167" i="13"/>
  <c r="J167" i="13"/>
  <c r="G168" i="13" l="1"/>
  <c r="E168" i="13"/>
  <c r="F169" i="13" l="1"/>
  <c r="D169" i="13" s="1"/>
  <c r="L168" i="13"/>
  <c r="J168" i="13"/>
  <c r="G169" i="13" l="1"/>
  <c r="E169" i="13"/>
  <c r="F170" i="13" l="1"/>
  <c r="D170" i="13" s="1"/>
  <c r="L169" i="13"/>
  <c r="J169" i="13"/>
  <c r="G170" i="13" l="1"/>
  <c r="E170" i="13"/>
  <c r="F171" i="13" l="1"/>
  <c r="D171" i="13" s="1"/>
  <c r="L170" i="13"/>
  <c r="J170" i="13"/>
  <c r="G171" i="13" l="1"/>
  <c r="E171" i="13"/>
  <c r="F172" i="13" l="1"/>
  <c r="D172" i="13" s="1"/>
  <c r="L171" i="13"/>
  <c r="J171" i="13"/>
  <c r="G172" i="13" l="1"/>
  <c r="E172" i="13"/>
  <c r="F173" i="13" l="1"/>
  <c r="D173" i="13" s="1"/>
  <c r="L172" i="13"/>
  <c r="J172" i="13"/>
  <c r="G173" i="13" l="1"/>
  <c r="E173" i="13"/>
  <c r="F174" i="13" l="1"/>
  <c r="D174" i="13" s="1"/>
  <c r="J173" i="13"/>
  <c r="L173" i="13"/>
  <c r="G174" i="13" l="1"/>
  <c r="E174" i="13"/>
  <c r="F175" i="13" l="1"/>
  <c r="D175" i="13" s="1"/>
  <c r="J174" i="13"/>
  <c r="L174" i="13"/>
  <c r="G175" i="13" l="1"/>
  <c r="E175" i="13"/>
  <c r="F176" i="13" l="1"/>
  <c r="D176" i="13" s="1"/>
  <c r="J175" i="13"/>
  <c r="L175" i="13"/>
  <c r="G176" i="13" l="1"/>
  <c r="E176" i="13"/>
  <c r="F177" i="13" l="1"/>
  <c r="D177" i="13" s="1"/>
  <c r="L176" i="13"/>
  <c r="J176" i="13"/>
  <c r="G177" i="13" l="1"/>
  <c r="E177" i="13"/>
  <c r="F178" i="13" l="1"/>
  <c r="D178" i="13" s="1"/>
  <c r="L177" i="13"/>
  <c r="J177" i="13"/>
  <c r="G178" i="13" l="1"/>
  <c r="E178" i="13"/>
  <c r="F179" i="13" l="1"/>
  <c r="D179" i="13" s="1"/>
  <c r="L178" i="13"/>
  <c r="J178" i="13"/>
  <c r="G179" i="13" l="1"/>
  <c r="E179" i="13"/>
  <c r="F180" i="13" l="1"/>
  <c r="D180" i="13" s="1"/>
  <c r="J179" i="13"/>
  <c r="L179" i="13"/>
  <c r="G180" i="13" l="1"/>
  <c r="E180" i="13"/>
  <c r="F181" i="13" l="1"/>
  <c r="D181" i="13" s="1"/>
  <c r="L180" i="13"/>
  <c r="J180" i="13"/>
  <c r="G181" i="13" l="1"/>
  <c r="E181" i="13"/>
  <c r="F182" i="13" l="1"/>
  <c r="D182" i="13" s="1"/>
  <c r="L181" i="13"/>
  <c r="J181" i="13"/>
  <c r="G182" i="13" l="1"/>
  <c r="E182" i="13"/>
  <c r="F183" i="13" l="1"/>
  <c r="D183" i="13" s="1"/>
  <c r="L182" i="13"/>
  <c r="J182" i="13"/>
  <c r="G183" i="13" l="1"/>
  <c r="E183" i="13"/>
  <c r="F184" i="13" l="1"/>
  <c r="D184" i="13" s="1"/>
  <c r="G184" i="13" s="1"/>
  <c r="J183" i="13"/>
  <c r="L183" i="13"/>
  <c r="E184" i="13" l="1"/>
  <c r="L184" i="13"/>
  <c r="J184" i="13"/>
  <c r="F185" i="13" l="1"/>
  <c r="D185" i="13" s="1"/>
  <c r="G185" i="13" l="1"/>
  <c r="E185" i="13"/>
  <c r="F186" i="13" l="1"/>
  <c r="D186" i="13" s="1"/>
  <c r="J185" i="13"/>
  <c r="L185" i="13"/>
  <c r="G186" i="13" l="1"/>
  <c r="E186" i="13"/>
  <c r="F187" i="13" l="1"/>
  <c r="D187" i="13" s="1"/>
  <c r="J186" i="13"/>
  <c r="L186" i="13"/>
  <c r="G187" i="13" l="1"/>
  <c r="E187" i="13"/>
  <c r="F188" i="13" l="1"/>
  <c r="D188" i="13" s="1"/>
  <c r="J187" i="13"/>
  <c r="L187" i="13"/>
  <c r="G188" i="13" l="1"/>
  <c r="E188" i="13"/>
  <c r="F189" i="13" l="1"/>
  <c r="D189" i="13" s="1"/>
  <c r="L188" i="13"/>
  <c r="J188" i="13"/>
  <c r="G189" i="13" l="1"/>
  <c r="E189" i="13"/>
  <c r="F190" i="13" l="1"/>
  <c r="D190" i="13" s="1"/>
  <c r="L189" i="13"/>
  <c r="J189" i="13"/>
  <c r="G190" i="13" l="1"/>
  <c r="E190" i="13"/>
  <c r="F191" i="13" l="1"/>
  <c r="D191" i="13" s="1"/>
  <c r="J190" i="13"/>
  <c r="L190" i="13"/>
  <c r="G191" i="13" l="1"/>
  <c r="E191" i="13"/>
  <c r="F192" i="13" l="1"/>
  <c r="D192" i="13" s="1"/>
  <c r="G192" i="13" s="1"/>
  <c r="J191" i="13"/>
  <c r="L191" i="13"/>
  <c r="E192" i="13" l="1"/>
  <c r="F193" i="13"/>
  <c r="D193" i="13" s="1"/>
  <c r="L192" i="13"/>
  <c r="J192" i="13"/>
  <c r="G193" i="13" l="1"/>
  <c r="E193" i="13"/>
  <c r="F194" i="13" l="1"/>
  <c r="D194" i="13" s="1"/>
  <c r="G194" i="13" s="1"/>
  <c r="J193" i="13"/>
  <c r="L193" i="13"/>
  <c r="E194" i="13" l="1"/>
  <c r="L194" i="13"/>
  <c r="J194" i="13"/>
  <c r="F195" i="13" l="1"/>
  <c r="D195" i="13" s="1"/>
  <c r="G195" i="13" s="1"/>
  <c r="J195" i="13" l="1"/>
  <c r="L195" i="13"/>
  <c r="E195" i="13"/>
  <c r="F196" i="13" l="1"/>
  <c r="D196" i="13" s="1"/>
  <c r="G196" i="13" l="1"/>
  <c r="E196" i="13"/>
  <c r="F197" i="13" l="1"/>
  <c r="D197" i="13" s="1"/>
  <c r="J196" i="13"/>
  <c r="L196" i="13"/>
  <c r="G197" i="13" l="1"/>
  <c r="E197" i="13"/>
  <c r="F198" i="13" l="1"/>
  <c r="D198" i="13" s="1"/>
  <c r="J197" i="13"/>
  <c r="L197" i="13"/>
  <c r="G198" i="13" l="1"/>
  <c r="E198" i="13"/>
  <c r="F199" i="13" l="1"/>
  <c r="D199" i="13" s="1"/>
  <c r="J198" i="13"/>
  <c r="L198" i="13"/>
  <c r="G199" i="13" l="1"/>
  <c r="E199" i="13"/>
  <c r="F200" i="13" l="1"/>
  <c r="D200" i="13" s="1"/>
  <c r="J199" i="13"/>
  <c r="L199" i="13"/>
  <c r="G200" i="13" l="1"/>
  <c r="E200" i="13"/>
  <c r="F201" i="13" l="1"/>
  <c r="D201" i="13" s="1"/>
  <c r="L200" i="13"/>
  <c r="J200" i="13"/>
  <c r="G201" i="13" l="1"/>
  <c r="E201" i="13"/>
  <c r="F202" i="13" l="1"/>
  <c r="D202" i="13" s="1"/>
  <c r="J201" i="13"/>
  <c r="L201" i="13"/>
  <c r="G202" i="13" l="1"/>
  <c r="E202" i="13"/>
  <c r="F203" i="13" l="1"/>
  <c r="D203" i="13" s="1"/>
  <c r="J202" i="13"/>
  <c r="L202" i="13"/>
  <c r="G203" i="13" l="1"/>
  <c r="E203" i="13"/>
  <c r="F204" i="13" l="1"/>
  <c r="D204" i="13" s="1"/>
  <c r="J203" i="13"/>
  <c r="L203" i="13"/>
  <c r="G204" i="13" l="1"/>
  <c r="E204" i="13"/>
  <c r="F205" i="13" l="1"/>
  <c r="D205" i="13" s="1"/>
  <c r="G205" i="13" s="1"/>
  <c r="L204" i="13"/>
  <c r="J204" i="13"/>
  <c r="E205" i="13" l="1"/>
  <c r="J205" i="13"/>
  <c r="L205" i="13"/>
  <c r="F206" i="13" l="1"/>
  <c r="D206" i="13" s="1"/>
  <c r="G206" i="13" l="1"/>
  <c r="E206" i="13"/>
  <c r="F207" i="13" l="1"/>
  <c r="D207" i="13" s="1"/>
  <c r="J206" i="13"/>
  <c r="L206" i="13"/>
  <c r="G207" i="13" l="1"/>
  <c r="E207" i="13"/>
  <c r="F208" i="13" l="1"/>
  <c r="D208" i="13" s="1"/>
  <c r="L207" i="13"/>
  <c r="J207" i="13"/>
  <c r="G208" i="13" l="1"/>
  <c r="E208" i="13"/>
  <c r="F209" i="13" l="1"/>
  <c r="D209" i="13" s="1"/>
  <c r="L208" i="13"/>
  <c r="J208" i="13"/>
  <c r="G209" i="13" l="1"/>
  <c r="E209" i="13"/>
  <c r="F210" i="13" l="1"/>
  <c r="D210" i="13" s="1"/>
  <c r="G210" i="13" s="1"/>
  <c r="J209" i="13"/>
  <c r="L209" i="13"/>
  <c r="E210" i="13" l="1"/>
  <c r="L210" i="13"/>
  <c r="J210" i="13"/>
  <c r="F211" i="13" l="1"/>
  <c r="D211" i="13" s="1"/>
  <c r="G211" i="13" l="1"/>
  <c r="E211" i="13"/>
  <c r="F212" i="13" l="1"/>
  <c r="D212" i="13" s="1"/>
  <c r="J211" i="13"/>
  <c r="L211" i="13"/>
  <c r="G212" i="13" l="1"/>
  <c r="E212" i="13"/>
  <c r="F213" i="13" l="1"/>
  <c r="D213" i="13" s="1"/>
  <c r="G213" i="13" s="1"/>
  <c r="L212" i="13"/>
  <c r="J212" i="13"/>
  <c r="E213" i="13" l="1"/>
  <c r="L213" i="13"/>
  <c r="J213" i="13"/>
  <c r="F214" i="13" l="1"/>
  <c r="D214" i="13" s="1"/>
  <c r="G214" i="13" l="1"/>
  <c r="E214" i="13"/>
  <c r="F215" i="13" l="1"/>
  <c r="D215" i="13" s="1"/>
  <c r="J214" i="13"/>
  <c r="L214" i="13"/>
  <c r="G215" i="13" l="1"/>
  <c r="E215" i="13"/>
  <c r="F216" i="13" l="1"/>
  <c r="D216" i="13" s="1"/>
  <c r="G216" i="13" s="1"/>
  <c r="E216" i="13"/>
  <c r="J215" i="13"/>
  <c r="L215" i="13"/>
  <c r="F217" i="13" l="1"/>
  <c r="D217" i="13" s="1"/>
  <c r="L216" i="13"/>
  <c r="J216" i="13"/>
  <c r="G217" i="13" l="1"/>
  <c r="E217" i="13"/>
  <c r="F218" i="13" l="1"/>
  <c r="D218" i="13" s="1"/>
  <c r="L217" i="13"/>
  <c r="J217" i="13"/>
  <c r="G218" i="13" l="1"/>
  <c r="E218" i="13"/>
  <c r="F219" i="13" l="1"/>
  <c r="D219" i="13" s="1"/>
  <c r="J218" i="13"/>
  <c r="L218" i="13"/>
  <c r="G219" i="13" l="1"/>
  <c r="E219" i="13"/>
  <c r="F220" i="13" l="1"/>
  <c r="D220" i="13" s="1"/>
  <c r="G220" i="13" s="1"/>
  <c r="E220" i="13"/>
  <c r="L219" i="13"/>
  <c r="J219" i="13"/>
  <c r="F221" i="13" l="1"/>
  <c r="D221" i="13" s="1"/>
  <c r="L220" i="13"/>
  <c r="J220" i="13"/>
  <c r="G221" i="13" l="1"/>
  <c r="E221" i="13"/>
  <c r="F222" i="13" l="1"/>
  <c r="D222" i="13" s="1"/>
  <c r="G222" i="13" s="1"/>
  <c r="L221" i="13"/>
  <c r="J221" i="13"/>
  <c r="E222" i="13" l="1"/>
  <c r="F223" i="13" s="1"/>
  <c r="D223" i="13" s="1"/>
  <c r="E223" i="13" s="1"/>
  <c r="G223" i="13"/>
  <c r="L222" i="13"/>
  <c r="J222" i="13"/>
  <c r="L223" i="13" l="1"/>
  <c r="J223" i="13"/>
  <c r="F224" i="13"/>
  <c r="D224" i="13" s="1"/>
  <c r="G224" i="13" l="1"/>
  <c r="E224" i="13"/>
  <c r="F225" i="13" l="1"/>
  <c r="D225" i="13" s="1"/>
  <c r="J224" i="13"/>
  <c r="L224" i="13"/>
  <c r="G225" i="13" l="1"/>
  <c r="E225" i="13"/>
  <c r="F226" i="13" l="1"/>
  <c r="D226" i="13" s="1"/>
  <c r="J225" i="13"/>
  <c r="L225" i="13"/>
  <c r="G226" i="13" l="1"/>
  <c r="E226" i="13"/>
  <c r="F227" i="13" l="1"/>
  <c r="D227" i="13" s="1"/>
  <c r="J226" i="13"/>
  <c r="L226" i="13"/>
  <c r="G227" i="13" l="1"/>
  <c r="E227" i="13"/>
  <c r="F228" i="13" l="1"/>
  <c r="D228" i="13" s="1"/>
  <c r="J227" i="13"/>
  <c r="L227" i="13"/>
  <c r="G228" i="13" l="1"/>
  <c r="E228" i="13"/>
  <c r="F229" i="13" l="1"/>
  <c r="D229" i="13" s="1"/>
  <c r="J228" i="13"/>
  <c r="L228" i="13"/>
  <c r="G229" i="13" l="1"/>
  <c r="E229" i="13"/>
  <c r="F230" i="13" l="1"/>
  <c r="D230" i="13" s="1"/>
  <c r="J229" i="13"/>
  <c r="L229" i="13"/>
  <c r="G230" i="13" l="1"/>
  <c r="E230" i="13"/>
  <c r="F231" i="13" l="1"/>
  <c r="D231" i="13" s="1"/>
  <c r="G231" i="13" s="1"/>
  <c r="J230" i="13"/>
  <c r="L230" i="13"/>
  <c r="E231" i="13" l="1"/>
  <c r="F232" i="13"/>
  <c r="D232" i="13" s="1"/>
  <c r="J231" i="13"/>
  <c r="L231" i="13"/>
  <c r="G232" i="13" l="1"/>
  <c r="E232" i="13"/>
  <c r="F233" i="13" l="1"/>
  <c r="D233" i="13" s="1"/>
  <c r="L232" i="13"/>
  <c r="J232" i="13"/>
  <c r="G233" i="13" l="1"/>
  <c r="E233" i="13"/>
  <c r="F234" i="13" l="1"/>
  <c r="D234" i="13" s="1"/>
  <c r="L233" i="13"/>
  <c r="J233" i="13"/>
  <c r="G234" i="13" l="1"/>
  <c r="E234" i="13"/>
  <c r="F235" i="13" l="1"/>
  <c r="D235" i="13" s="1"/>
  <c r="J234" i="13"/>
  <c r="L234" i="13"/>
  <c r="G235" i="13" l="1"/>
  <c r="E235" i="13"/>
  <c r="F236" i="13" l="1"/>
  <c r="D236" i="13" s="1"/>
  <c r="G236" i="13" s="1"/>
  <c r="J235" i="13"/>
  <c r="L235" i="13"/>
  <c r="E236" i="13" l="1"/>
  <c r="F237" i="13" s="1"/>
  <c r="D237" i="13" s="1"/>
  <c r="L236" i="13"/>
  <c r="J236" i="13"/>
  <c r="G237" i="13" l="1"/>
  <c r="E237" i="13"/>
  <c r="F238" i="13" l="1"/>
  <c r="D238" i="13" s="1"/>
  <c r="J237" i="13"/>
  <c r="L237" i="13"/>
  <c r="G238" i="13" l="1"/>
  <c r="E238" i="13"/>
  <c r="F239" i="13" l="1"/>
  <c r="D239" i="13" s="1"/>
  <c r="J238" i="13"/>
  <c r="L238" i="13"/>
  <c r="G239" i="13" l="1"/>
  <c r="E239" i="13"/>
  <c r="F240" i="13" l="1"/>
  <c r="D240" i="13" s="1"/>
  <c r="J239" i="13"/>
  <c r="L239" i="13"/>
  <c r="G240" i="13" l="1"/>
  <c r="E240" i="13"/>
  <c r="F241" i="13" l="1"/>
  <c r="D241" i="13" s="1"/>
  <c r="L240" i="13"/>
  <c r="J240" i="13"/>
  <c r="G241" i="13" l="1"/>
  <c r="E241" i="13"/>
  <c r="F242" i="13" l="1"/>
  <c r="D242" i="13" s="1"/>
  <c r="J241" i="13"/>
  <c r="L241" i="13"/>
  <c r="G242" i="13" l="1"/>
  <c r="E242" i="13"/>
  <c r="F243" i="13" l="1"/>
  <c r="D243" i="13" s="1"/>
  <c r="L242" i="13"/>
  <c r="J242" i="13"/>
  <c r="G243" i="13" l="1"/>
  <c r="E243" i="13"/>
  <c r="F244" i="13" l="1"/>
  <c r="D244" i="13" s="1"/>
  <c r="L243" i="13"/>
  <c r="J243" i="13"/>
  <c r="G244" i="13" l="1"/>
  <c r="E244" i="13"/>
  <c r="F245" i="13" l="1"/>
  <c r="D245" i="13" s="1"/>
  <c r="J244" i="13"/>
  <c r="L244" i="13"/>
  <c r="G245" i="13" l="1"/>
  <c r="E245" i="13"/>
  <c r="F246" i="13" l="1"/>
  <c r="D246" i="13" s="1"/>
  <c r="L245" i="13"/>
  <c r="J245" i="13"/>
  <c r="G246" i="13" l="1"/>
  <c r="E246" i="13"/>
  <c r="F247" i="13" l="1"/>
  <c r="D247" i="13" s="1"/>
  <c r="J246" i="13"/>
  <c r="L246" i="13"/>
  <c r="G247" i="13" l="1"/>
  <c r="E247" i="13"/>
  <c r="F248" i="13" l="1"/>
  <c r="D248" i="13" s="1"/>
  <c r="L247" i="13"/>
  <c r="J247" i="13"/>
  <c r="G248" i="13" l="1"/>
  <c r="E248" i="13"/>
  <c r="F249" i="13" l="1"/>
  <c r="D249" i="13" s="1"/>
  <c r="L248" i="13"/>
  <c r="J248" i="13"/>
  <c r="G249" i="13" l="1"/>
  <c r="E249" i="13"/>
  <c r="F250" i="13" l="1"/>
  <c r="D250" i="13" s="1"/>
  <c r="J249" i="13"/>
  <c r="L249" i="13"/>
  <c r="G250" i="13" l="1"/>
  <c r="E250" i="13"/>
  <c r="F251" i="13" l="1"/>
  <c r="D251" i="13" s="1"/>
  <c r="J250" i="13"/>
  <c r="L250" i="13"/>
  <c r="G251" i="13" l="1"/>
  <c r="E251" i="13"/>
  <c r="F252" i="13" l="1"/>
  <c r="D252" i="13" s="1"/>
  <c r="L251" i="13"/>
  <c r="J251" i="13"/>
  <c r="G252" i="13" l="1"/>
  <c r="E252" i="13"/>
  <c r="F253" i="13" l="1"/>
  <c r="D253" i="13" s="1"/>
  <c r="L252" i="13"/>
  <c r="J252" i="13"/>
  <c r="G253" i="13" l="1"/>
  <c r="E253" i="13"/>
  <c r="F254" i="13" l="1"/>
  <c r="D254" i="13" s="1"/>
  <c r="J253" i="13"/>
  <c r="L253" i="13"/>
  <c r="G254" i="13" l="1"/>
  <c r="E254" i="13"/>
  <c r="F255" i="13" l="1"/>
  <c r="D255" i="13" s="1"/>
  <c r="J254" i="13"/>
  <c r="L254" i="13"/>
  <c r="G255" i="13" l="1"/>
  <c r="E255" i="13"/>
  <c r="F256" i="13" l="1"/>
  <c r="D256" i="13" s="1"/>
  <c r="J255" i="13"/>
  <c r="L255" i="13"/>
  <c r="G256" i="13" l="1"/>
  <c r="E256" i="13"/>
  <c r="F257" i="13" l="1"/>
  <c r="D257" i="13" s="1"/>
  <c r="L256" i="13"/>
  <c r="J256" i="13"/>
  <c r="G257" i="13" l="1"/>
  <c r="E257" i="13"/>
  <c r="F258" i="13" l="1"/>
  <c r="D258" i="13" s="1"/>
  <c r="L257" i="13"/>
  <c r="J257" i="13"/>
  <c r="G258" i="13" l="1"/>
  <c r="E258" i="13"/>
  <c r="F259" i="13" l="1"/>
  <c r="D259" i="13" s="1"/>
  <c r="J258" i="13"/>
  <c r="L258" i="13"/>
  <c r="G259" i="13" l="1"/>
  <c r="E259" i="13"/>
  <c r="F260" i="13" l="1"/>
  <c r="D260" i="13" s="1"/>
  <c r="J259" i="13"/>
  <c r="L259" i="13"/>
  <c r="G260" i="13" l="1"/>
  <c r="E260" i="13"/>
  <c r="F261" i="13" l="1"/>
  <c r="D261" i="13" s="1"/>
  <c r="L260" i="13"/>
  <c r="J260" i="13"/>
  <c r="G261" i="13" l="1"/>
  <c r="E261" i="13"/>
  <c r="F262" i="13" l="1"/>
  <c r="D262" i="13" s="1"/>
  <c r="L261" i="13"/>
  <c r="J261" i="13"/>
  <c r="G262" i="13" l="1"/>
  <c r="E262" i="13"/>
  <c r="F263" i="13" l="1"/>
  <c r="D263" i="13" s="1"/>
  <c r="J262" i="13"/>
  <c r="L262" i="13"/>
  <c r="G263" i="13" l="1"/>
  <c r="E263" i="13"/>
  <c r="F264" i="13" l="1"/>
  <c r="D264" i="13" s="1"/>
  <c r="J263" i="13"/>
  <c r="L263" i="13"/>
  <c r="G264" i="13" l="1"/>
  <c r="E264" i="13"/>
  <c r="F265" i="13" l="1"/>
  <c r="D265" i="13" s="1"/>
  <c r="L264" i="13"/>
  <c r="J264" i="13"/>
  <c r="G265" i="13" l="1"/>
  <c r="E265" i="13"/>
  <c r="F266" i="13" l="1"/>
  <c r="D266" i="13" s="1"/>
  <c r="L265" i="13"/>
  <c r="J265" i="13"/>
  <c r="G266" i="13" l="1"/>
  <c r="E266" i="13"/>
  <c r="F267" i="13" l="1"/>
  <c r="D267" i="13" s="1"/>
  <c r="L266" i="13"/>
  <c r="J266" i="13"/>
  <c r="G267" i="13" l="1"/>
  <c r="E267" i="13"/>
  <c r="F268" i="13" l="1"/>
  <c r="D268" i="13" s="1"/>
  <c r="L267" i="13"/>
  <c r="J267" i="13"/>
  <c r="G268" i="13" l="1"/>
  <c r="E268" i="13"/>
  <c r="F269" i="13" l="1"/>
  <c r="D269" i="13" s="1"/>
  <c r="L268" i="13"/>
  <c r="J268" i="13"/>
  <c r="G269" i="13" l="1"/>
  <c r="E269" i="13"/>
  <c r="F270" i="13" l="1"/>
  <c r="D270" i="13" s="1"/>
  <c r="J269" i="13"/>
  <c r="L269" i="13"/>
  <c r="G270" i="13" l="1"/>
  <c r="E270" i="13"/>
  <c r="F271" i="13" l="1"/>
  <c r="D271" i="13" s="1"/>
  <c r="J270" i="13"/>
  <c r="L270" i="13"/>
  <c r="G271" i="13" l="1"/>
  <c r="E271" i="13"/>
  <c r="F272" i="13" l="1"/>
  <c r="D272" i="13" s="1"/>
  <c r="L271" i="13"/>
  <c r="J271" i="13"/>
  <c r="G272" i="13" l="1"/>
  <c r="E272" i="13"/>
  <c r="F273" i="13" l="1"/>
  <c r="D273" i="13" s="1"/>
  <c r="J272" i="13"/>
  <c r="L272" i="13"/>
  <c r="G273" i="13" l="1"/>
  <c r="E273" i="13"/>
  <c r="F274" i="13" l="1"/>
  <c r="D274" i="13" s="1"/>
  <c r="J273" i="13"/>
  <c r="L273" i="13"/>
  <c r="G274" i="13" l="1"/>
  <c r="E274" i="13"/>
  <c r="F275" i="13" l="1"/>
  <c r="D275" i="13" s="1"/>
  <c r="J274" i="13"/>
  <c r="L274" i="13"/>
  <c r="G275" i="13" l="1"/>
  <c r="E275" i="13"/>
  <c r="F276" i="13" l="1"/>
  <c r="D276" i="13" s="1"/>
  <c r="L275" i="13"/>
  <c r="J275" i="13"/>
  <c r="G276" i="13" l="1"/>
  <c r="E276" i="13"/>
  <c r="F277" i="13" l="1"/>
  <c r="D277" i="13" s="1"/>
  <c r="J276" i="13"/>
  <c r="L276" i="13"/>
  <c r="G277" i="13" l="1"/>
  <c r="E277" i="13"/>
  <c r="F278" i="13" l="1"/>
  <c r="D278" i="13" s="1"/>
  <c r="L277" i="13"/>
  <c r="J277" i="13"/>
  <c r="G278" i="13" l="1"/>
  <c r="E278" i="13"/>
  <c r="F279" i="13" l="1"/>
  <c r="D279" i="13" s="1"/>
  <c r="L278" i="13"/>
  <c r="J278" i="13"/>
  <c r="G279" i="13" l="1"/>
  <c r="E279" i="13"/>
  <c r="F280" i="13" l="1"/>
  <c r="D280" i="13" s="1"/>
  <c r="J279" i="13"/>
  <c r="L279" i="13"/>
  <c r="G280" i="13" l="1"/>
  <c r="E280" i="13"/>
  <c r="F281" i="13" l="1"/>
  <c r="D281" i="13" s="1"/>
  <c r="J280" i="13"/>
  <c r="L280" i="13"/>
  <c r="G281" i="13" l="1"/>
  <c r="E281" i="13"/>
  <c r="F282" i="13" l="1"/>
  <c r="D282" i="13" s="1"/>
  <c r="L281" i="13"/>
  <c r="J281" i="13"/>
  <c r="G282" i="13" l="1"/>
  <c r="E282" i="13"/>
  <c r="F283" i="13" l="1"/>
  <c r="D283" i="13" s="1"/>
  <c r="L282" i="13"/>
  <c r="J282" i="13"/>
  <c r="G283" i="13" l="1"/>
  <c r="E283" i="13"/>
  <c r="F284" i="13" l="1"/>
  <c r="D284" i="13" s="1"/>
  <c r="J283" i="13"/>
  <c r="L283" i="13"/>
  <c r="G284" i="13" l="1"/>
  <c r="E284" i="13"/>
  <c r="F285" i="13" l="1"/>
  <c r="D285" i="13" s="1"/>
  <c r="J284" i="13"/>
  <c r="L284" i="13"/>
  <c r="G285" i="13" l="1"/>
  <c r="E285" i="13"/>
  <c r="F286" i="13" l="1"/>
  <c r="D286" i="13" s="1"/>
  <c r="J285" i="13"/>
  <c r="L285" i="13"/>
  <c r="G286" i="13" l="1"/>
  <c r="E286" i="13"/>
  <c r="F287" i="13" l="1"/>
  <c r="D287" i="13" s="1"/>
  <c r="L286" i="13"/>
  <c r="J286" i="13"/>
  <c r="G287" i="13" l="1"/>
  <c r="E287" i="13"/>
  <c r="F288" i="13" l="1"/>
  <c r="D288" i="13" s="1"/>
  <c r="L287" i="13"/>
  <c r="J287" i="13"/>
  <c r="G288" i="13" l="1"/>
  <c r="E288" i="13"/>
  <c r="F289" i="13" l="1"/>
  <c r="D289" i="13" s="1"/>
  <c r="J288" i="13"/>
  <c r="L288" i="13"/>
  <c r="G289" i="13" l="1"/>
  <c r="E289" i="13"/>
  <c r="F290" i="13" l="1"/>
  <c r="D290" i="13" s="1"/>
  <c r="L289" i="13"/>
  <c r="J289" i="13"/>
  <c r="G290" i="13" l="1"/>
  <c r="E290" i="13"/>
  <c r="F291" i="13" l="1"/>
  <c r="D291" i="13" s="1"/>
  <c r="L290" i="13"/>
  <c r="J290" i="13"/>
  <c r="G291" i="13" l="1"/>
  <c r="E291" i="13"/>
  <c r="F292" i="13" l="1"/>
  <c r="D292" i="13" s="1"/>
  <c r="J291" i="13"/>
  <c r="L291" i="13"/>
  <c r="G292" i="13" l="1"/>
  <c r="E292" i="13"/>
  <c r="F293" i="13" l="1"/>
  <c r="D293" i="13" s="1"/>
  <c r="L292" i="13"/>
  <c r="J292" i="13"/>
  <c r="G293" i="13" l="1"/>
  <c r="E293" i="13"/>
  <c r="F294" i="13" l="1"/>
  <c r="D294" i="13" s="1"/>
  <c r="J293" i="13"/>
  <c r="L293" i="13"/>
  <c r="G294" i="13" l="1"/>
  <c r="E294" i="13"/>
  <c r="F295" i="13" l="1"/>
  <c r="D295" i="13" s="1"/>
  <c r="J294" i="13"/>
  <c r="L294" i="13"/>
  <c r="G295" i="13" l="1"/>
  <c r="E295" i="13"/>
  <c r="F296" i="13" l="1"/>
  <c r="D296" i="13" s="1"/>
  <c r="L295" i="13"/>
  <c r="J295" i="13"/>
  <c r="G296" i="13" l="1"/>
  <c r="E296" i="13"/>
  <c r="F297" i="13" l="1"/>
  <c r="D297" i="13" s="1"/>
  <c r="L296" i="13"/>
  <c r="J296" i="13"/>
  <c r="G297" i="13" l="1"/>
  <c r="E297" i="13"/>
  <c r="F298" i="13" l="1"/>
  <c r="D298" i="13" s="1"/>
  <c r="J297" i="13"/>
  <c r="L297" i="13"/>
  <c r="G298" i="13" l="1"/>
  <c r="E298" i="13"/>
  <c r="F299" i="13" l="1"/>
  <c r="D299" i="13" s="1"/>
  <c r="J298" i="13"/>
  <c r="L298" i="13"/>
  <c r="G299" i="13" l="1"/>
  <c r="E299" i="13"/>
  <c r="F300" i="13" l="1"/>
  <c r="D300" i="13" s="1"/>
  <c r="L299" i="13"/>
  <c r="J299" i="13"/>
  <c r="G300" i="13" l="1"/>
  <c r="E300" i="13"/>
  <c r="F301" i="13" l="1"/>
  <c r="D301" i="13" s="1"/>
  <c r="G301" i="13" s="1"/>
  <c r="J300" i="13"/>
  <c r="L300" i="13"/>
  <c r="E301" i="13" l="1"/>
  <c r="F302" i="13"/>
  <c r="D302" i="13" s="1"/>
  <c r="L301" i="13"/>
  <c r="J301" i="13"/>
  <c r="G302" i="13" l="1"/>
  <c r="E302" i="13"/>
  <c r="F303" i="13" l="1"/>
  <c r="D303" i="13" s="1"/>
  <c r="L302" i="13"/>
  <c r="J302" i="13"/>
  <c r="G303" i="13" l="1"/>
  <c r="E303" i="13"/>
  <c r="F304" i="13" l="1"/>
  <c r="D304" i="13" s="1"/>
  <c r="L303" i="13"/>
  <c r="J303" i="13"/>
  <c r="G304" i="13" l="1"/>
  <c r="E304" i="13"/>
  <c r="F305" i="13" l="1"/>
  <c r="D305" i="13" s="1"/>
  <c r="J304" i="13"/>
  <c r="L304" i="13"/>
  <c r="G305" i="13" l="1"/>
  <c r="E305" i="13"/>
  <c r="F306" i="13" l="1"/>
  <c r="D306" i="13" s="1"/>
  <c r="J305" i="13"/>
  <c r="L305" i="13"/>
  <c r="G306" i="13" l="1"/>
  <c r="E306" i="13"/>
  <c r="F307" i="13" l="1"/>
  <c r="L306" i="13"/>
  <c r="J306" i="13"/>
  <c r="D307" i="13" l="1"/>
  <c r="G307" i="13" l="1"/>
  <c r="E307" i="13"/>
  <c r="F308" i="13" l="1"/>
  <c r="L307" i="13"/>
  <c r="J307" i="13"/>
  <c r="D308" i="13" l="1"/>
  <c r="G308" i="13" l="1"/>
  <c r="E308" i="13"/>
  <c r="F309" i="13" l="1"/>
  <c r="L308" i="13"/>
  <c r="J308" i="13"/>
  <c r="D309" i="13" l="1"/>
  <c r="G309" i="13" l="1"/>
  <c r="E309" i="13"/>
  <c r="F310" i="13" l="1"/>
  <c r="J309" i="13"/>
  <c r="L309" i="13"/>
  <c r="D310" i="13" l="1"/>
  <c r="G310" i="13" l="1"/>
  <c r="E310" i="13"/>
  <c r="F311" i="13" l="1"/>
  <c r="J310" i="13"/>
  <c r="L310" i="13"/>
  <c r="D311" i="13" l="1"/>
  <c r="G311" i="13" l="1"/>
  <c r="E311" i="13"/>
  <c r="F312" i="13" l="1"/>
  <c r="D312" i="13" s="1"/>
  <c r="L311" i="13"/>
  <c r="J311" i="13"/>
  <c r="G312" i="13" l="1"/>
  <c r="E312" i="13"/>
  <c r="F313" i="13" l="1"/>
  <c r="D313" i="13" s="1"/>
  <c r="J312" i="13"/>
  <c r="L312" i="13"/>
  <c r="G313" i="13" l="1"/>
  <c r="E313" i="13"/>
  <c r="F314" i="13" l="1"/>
  <c r="D314" i="13" s="1"/>
  <c r="J313" i="13"/>
  <c r="L313" i="13"/>
  <c r="G314" i="13" l="1"/>
  <c r="E314" i="13"/>
  <c r="F315" i="13" l="1"/>
  <c r="D315" i="13" s="1"/>
  <c r="L314" i="13"/>
  <c r="J314" i="13"/>
  <c r="G315" i="13" l="1"/>
  <c r="E315" i="13"/>
  <c r="F316" i="13" l="1"/>
  <c r="D316" i="13" s="1"/>
  <c r="L315" i="13"/>
  <c r="J315" i="13"/>
  <c r="G316" i="13" l="1"/>
  <c r="E316" i="13"/>
  <c r="F317" i="13" l="1"/>
  <c r="D317" i="13" s="1"/>
  <c r="J316" i="13"/>
  <c r="L316" i="13"/>
  <c r="G317" i="13" l="1"/>
  <c r="E317" i="13"/>
  <c r="F318" i="13" l="1"/>
  <c r="D318" i="13" s="1"/>
  <c r="L317" i="13"/>
  <c r="J317" i="13"/>
  <c r="G318" i="13" l="1"/>
  <c r="E318" i="13"/>
  <c r="F319" i="13" l="1"/>
  <c r="D319" i="13" s="1"/>
  <c r="J318" i="13"/>
  <c r="L318" i="13"/>
  <c r="G319" i="13" l="1"/>
  <c r="E319" i="13"/>
  <c r="F320" i="13" l="1"/>
  <c r="D320" i="13" s="1"/>
  <c r="L319" i="13"/>
  <c r="J319" i="13"/>
  <c r="G320" i="13" l="1"/>
  <c r="E320" i="13"/>
  <c r="F321" i="13" l="1"/>
  <c r="D321" i="13" s="1"/>
  <c r="L320" i="13"/>
  <c r="J320" i="13"/>
  <c r="G321" i="13" l="1"/>
  <c r="E321" i="13"/>
  <c r="F322" i="13" l="1"/>
  <c r="D322" i="13" s="1"/>
  <c r="L321" i="13"/>
  <c r="J321" i="13"/>
  <c r="G322" i="13" l="1"/>
  <c r="E322" i="13"/>
  <c r="F323" i="13" l="1"/>
  <c r="D323" i="13" s="1"/>
  <c r="L322" i="13"/>
  <c r="J322" i="13"/>
  <c r="G323" i="13" l="1"/>
  <c r="E323" i="13"/>
  <c r="F324" i="13" l="1"/>
  <c r="D324" i="13" s="1"/>
  <c r="J323" i="13"/>
  <c r="L323" i="13"/>
  <c r="G324" i="13" l="1"/>
  <c r="E324" i="13"/>
  <c r="F325" i="13" l="1"/>
  <c r="D325" i="13" s="1"/>
  <c r="J324" i="13"/>
  <c r="L324" i="13"/>
  <c r="G325" i="13" l="1"/>
  <c r="E325" i="13"/>
  <c r="F326" i="13" l="1"/>
  <c r="D326" i="13" s="1"/>
  <c r="L325" i="13"/>
  <c r="J325" i="13"/>
  <c r="G326" i="13" l="1"/>
  <c r="E326" i="13"/>
  <c r="F327" i="13" l="1"/>
  <c r="D327" i="13" s="1"/>
  <c r="J326" i="13"/>
  <c r="L326" i="13"/>
  <c r="G327" i="13" l="1"/>
  <c r="E327" i="13"/>
  <c r="F328" i="13" l="1"/>
  <c r="D328" i="13" s="1"/>
  <c r="J327" i="13"/>
  <c r="L327" i="13"/>
  <c r="G328" i="13" l="1"/>
  <c r="E328" i="13"/>
  <c r="F329" i="13" l="1"/>
  <c r="D329" i="13" s="1"/>
  <c r="L328" i="13"/>
  <c r="J328" i="13"/>
  <c r="G329" i="13" l="1"/>
  <c r="E329" i="13"/>
  <c r="F330" i="13" l="1"/>
  <c r="D330" i="13" s="1"/>
  <c r="J329" i="13"/>
  <c r="L329" i="13"/>
  <c r="G330" i="13" l="1"/>
  <c r="E330" i="13"/>
  <c r="F331" i="13" l="1"/>
  <c r="D331" i="13" s="1"/>
  <c r="J330" i="13"/>
  <c r="L330" i="13"/>
  <c r="G331" i="13" l="1"/>
  <c r="E331" i="13"/>
  <c r="F332" i="13" l="1"/>
  <c r="D332" i="13" s="1"/>
  <c r="L331" i="13"/>
  <c r="J331" i="13"/>
  <c r="G332" i="13" l="1"/>
  <c r="E332" i="13"/>
  <c r="F333" i="13" l="1"/>
  <c r="D333" i="13" s="1"/>
  <c r="J332" i="13"/>
  <c r="L332" i="13"/>
  <c r="G333" i="13" l="1"/>
  <c r="E333" i="13"/>
  <c r="F334" i="13" l="1"/>
  <c r="D334" i="13" s="1"/>
  <c r="L333" i="13"/>
  <c r="J333" i="13"/>
  <c r="G334" i="13" l="1"/>
  <c r="E334" i="13"/>
  <c r="F335" i="13" l="1"/>
  <c r="D335" i="13" s="1"/>
  <c r="L334" i="13"/>
  <c r="J334" i="13"/>
  <c r="G335" i="13" l="1"/>
  <c r="E335" i="13"/>
  <c r="F336" i="13" l="1"/>
  <c r="D336" i="13" s="1"/>
  <c r="L335" i="13"/>
  <c r="J335" i="13"/>
  <c r="G336" i="13" l="1"/>
  <c r="E336" i="13"/>
  <c r="F337" i="13" l="1"/>
  <c r="D337" i="13" s="1"/>
  <c r="J336" i="13"/>
  <c r="L336" i="13"/>
  <c r="G337" i="13" l="1"/>
  <c r="E337" i="13"/>
  <c r="F338" i="13" l="1"/>
  <c r="D338" i="13" s="1"/>
  <c r="J337" i="13"/>
  <c r="L337" i="13"/>
  <c r="G338" i="13" l="1"/>
  <c r="E338" i="13"/>
  <c r="F339" i="13" l="1"/>
  <c r="D339" i="13" s="1"/>
  <c r="L338" i="13"/>
  <c r="J338" i="13"/>
  <c r="G339" i="13" l="1"/>
  <c r="E339" i="13"/>
  <c r="F340" i="13" l="1"/>
  <c r="D340" i="13" s="1"/>
  <c r="J339" i="13"/>
  <c r="L339" i="13"/>
  <c r="G340" i="13" l="1"/>
  <c r="E340" i="13"/>
  <c r="F341" i="13" l="1"/>
  <c r="D341" i="13" s="1"/>
  <c r="L340" i="13"/>
  <c r="J340" i="13"/>
  <c r="G341" i="13" l="1"/>
  <c r="E341" i="13"/>
  <c r="F342" i="13" l="1"/>
  <c r="D342" i="13" s="1"/>
  <c r="L341" i="13"/>
  <c r="J341" i="13"/>
  <c r="G342" i="13" l="1"/>
  <c r="E342" i="13"/>
  <c r="F343" i="13" l="1"/>
  <c r="D343" i="13" s="1"/>
  <c r="L342" i="13"/>
  <c r="J342" i="13"/>
  <c r="G343" i="13" l="1"/>
  <c r="E343" i="13"/>
  <c r="F344" i="13" l="1"/>
  <c r="D344" i="13" s="1"/>
  <c r="J343" i="13"/>
  <c r="L343" i="13"/>
  <c r="G344" i="13" l="1"/>
  <c r="E344" i="13"/>
  <c r="F345" i="13" l="1"/>
  <c r="D345" i="13" s="1"/>
  <c r="J344" i="13"/>
  <c r="L344" i="13"/>
  <c r="G345" i="13" l="1"/>
  <c r="E345" i="13"/>
  <c r="F346" i="13" l="1"/>
  <c r="D346" i="13" s="1"/>
  <c r="J345" i="13"/>
  <c r="L345" i="13"/>
  <c r="G346" i="13" l="1"/>
  <c r="E346" i="13"/>
  <c r="F347" i="13" l="1"/>
  <c r="D347" i="13" s="1"/>
  <c r="L346" i="13"/>
  <c r="J346" i="13"/>
  <c r="G347" i="13" l="1"/>
  <c r="E347" i="13"/>
  <c r="F348" i="13" l="1"/>
  <c r="D348" i="13" s="1"/>
  <c r="J347" i="13"/>
  <c r="L347" i="13"/>
  <c r="G348" i="13" l="1"/>
  <c r="E348" i="13"/>
  <c r="F349" i="13" l="1"/>
  <c r="D349" i="13" s="1"/>
  <c r="J348" i="13"/>
  <c r="L348" i="13"/>
  <c r="G349" i="13" l="1"/>
  <c r="E349" i="13"/>
  <c r="F350" i="13" l="1"/>
  <c r="D350" i="13" s="1"/>
  <c r="L349" i="13"/>
  <c r="J349" i="13"/>
  <c r="G350" i="13" l="1"/>
  <c r="E350" i="13"/>
  <c r="F351" i="13" l="1"/>
  <c r="D351" i="13" s="1"/>
  <c r="J350" i="13"/>
  <c r="L350" i="13"/>
  <c r="G351" i="13" l="1"/>
  <c r="E351" i="13"/>
  <c r="F352" i="13" l="1"/>
  <c r="L351" i="13"/>
  <c r="J351" i="13"/>
  <c r="D352" i="13" l="1"/>
  <c r="C2" i="9"/>
  <c r="C7" i="9" s="1"/>
  <c r="G352" i="13" l="1"/>
  <c r="E352" i="13"/>
  <c r="J352" i="13" l="1"/>
  <c r="K353" i="13" s="1"/>
  <c r="L352" i="13"/>
  <c r="M353" i="13" s="1"/>
  <c r="D2" i="9"/>
  <c r="D7" i="9" s="1"/>
  <c r="N353" i="13" l="1"/>
  <c r="F2" i="9"/>
  <c r="F7" i="9" s="1"/>
  <c r="E2" i="9"/>
  <c r="E7" i="9" s="1"/>
  <c r="G2" i="9" l="1"/>
  <c r="G7" i="9" s="1"/>
</calcChain>
</file>

<file path=xl/sharedStrings.xml><?xml version="1.0" encoding="utf-8"?>
<sst xmlns="http://schemas.openxmlformats.org/spreadsheetml/2006/main" count="1116" uniqueCount="180">
  <si>
    <t>report_dttm</t>
  </si>
  <si>
    <t>discriminator</t>
  </si>
  <si>
    <t>deal_id</t>
  </si>
  <si>
    <t>currency_id</t>
  </si>
  <si>
    <t>start_principal_amt</t>
  </si>
  <si>
    <t>current_principal_amt</t>
  </si>
  <si>
    <t>deal_dttm</t>
  </si>
  <si>
    <t>maturity_dttm</t>
  </si>
  <si>
    <t>rate_type_cd</t>
  </si>
  <si>
    <t>interest_rate</t>
  </si>
  <si>
    <t>base_indicator_rate</t>
  </si>
  <si>
    <t>base_indicator</t>
  </si>
  <si>
    <t>interest_payment_rule_start_dttm</t>
  </si>
  <si>
    <t>interest_payment_rule_period_cd</t>
  </si>
  <si>
    <t>interest_payment_rule_day_num</t>
  </si>
  <si>
    <t>day_convention_cd</t>
  </si>
  <si>
    <t>regular_payment_rule_start_dttm</t>
  </si>
  <si>
    <t>regular_payment_rule_period_cd</t>
  </si>
  <si>
    <t>regular_payment_rule_day_num</t>
  </si>
  <si>
    <t>repricing_rule_start_dttm</t>
  </si>
  <si>
    <t>repricing_rule_period_cd</t>
  </si>
  <si>
    <t>repricing_rule_day_num</t>
  </si>
  <si>
    <t>accrued_interest</t>
  </si>
  <si>
    <t>product</t>
  </si>
  <si>
    <t>behavior_model_cd</t>
  </si>
  <si>
    <t>interest_payment</t>
  </si>
  <si>
    <t>principal_payment</t>
  </si>
  <si>
    <t>repricing_dttm_schedule</t>
  </si>
  <si>
    <t>repricing_dttm_rate_schedule</t>
  </si>
  <si>
    <t>repricing_dttm_rate_schedule_fixed</t>
  </si>
  <si>
    <t>cap_limit_interest_rate</t>
  </si>
  <si>
    <t>floor_limit_interest_rate</t>
  </si>
  <si>
    <t>sub_rate_type_cd</t>
  </si>
  <si>
    <t>sub_interest_rate</t>
  </si>
  <si>
    <t>sub_float_indicator</t>
  </si>
  <si>
    <t>sub_payment_rule_period_cd</t>
  </si>
  <si>
    <t>sub_payment_rule_day_num</t>
  </si>
  <si>
    <t>sub_payment_rule_start_dttm</t>
  </si>
  <si>
    <t>sub_repricing_rule_start_dttm</t>
  </si>
  <si>
    <t>sub_repricing_rule_period_cd</t>
  </si>
  <si>
    <t>sub_repricing_rule_day_num</t>
  </si>
  <si>
    <t>sub_cap_limit_interest_rate</t>
  </si>
  <si>
    <t>sub_floor_limit_interest_rate</t>
  </si>
  <si>
    <t>sub_coeff_index</t>
  </si>
  <si>
    <t>deal_report_dttm</t>
  </si>
  <si>
    <t>sub_repricing_rule_first_event_flg</t>
  </si>
  <si>
    <t>indicator_lag_cd</t>
  </si>
  <si>
    <t>sub_indicator_lag_cd</t>
  </si>
  <si>
    <t>Столбец1</t>
  </si>
  <si>
    <t>ANN</t>
  </si>
  <si>
    <t>1</t>
  </si>
  <si>
    <t>RUB</t>
  </si>
  <si>
    <t>FIXED</t>
  </si>
  <si>
    <t>ACT/ACT</t>
  </si>
  <si>
    <t>1M</t>
  </si>
  <si>
    <t>PREPAYMENT_CONSUMER</t>
  </si>
  <si>
    <t>5</t>
  </si>
  <si>
    <t>PREPAYMENT_MORTGAGE</t>
  </si>
  <si>
    <t>9</t>
  </si>
  <si>
    <t>ACT/ACT ISDA</t>
  </si>
  <si>
    <t>mortgage</t>
  </si>
  <si>
    <t>PREPAYMENT_MR8_CRED</t>
  </si>
  <si>
    <t>SIMPLE</t>
  </si>
  <si>
    <t>16</t>
  </si>
  <si>
    <t>2022-12-31,250000.0 2023-01-31,250000.0 2023-02-28,250000.0 2023-04-30,297077.3</t>
  </si>
  <si>
    <t>19</t>
  </si>
  <si>
    <t>loan_auto</t>
  </si>
  <si>
    <t>PREPAYMENT_AUTO</t>
  </si>
  <si>
    <t>2022-08-14 2022-11-14 2022-12-15 2023-01-15 2023-02-15 2023-04-15</t>
  </si>
  <si>
    <t>28</t>
  </si>
  <si>
    <t>loans_corporate</t>
  </si>
  <si>
    <t>RGM</t>
  </si>
  <si>
    <t>29</t>
  </si>
  <si>
    <t>33</t>
  </si>
  <si>
    <t>FLOAT</t>
  </si>
  <si>
    <t>CBKEY1M</t>
  </si>
  <si>
    <t>ACT/365</t>
  </si>
  <si>
    <t>2M</t>
  </si>
  <si>
    <t>2022-09-01,100000.0 2022-10-01,100000.0 2022-11-01,100000.0 2022-12-01,100000.0 2023-01-01,100000.0</t>
  </si>
  <si>
    <t>35</t>
  </si>
  <si>
    <t>44</t>
  </si>
  <si>
    <t>2022-09-30 2022-10-31 2022-11-30 2022-12-30 2022-08-31</t>
  </si>
  <si>
    <t>2022-09-30,55424.4 2022-10-31,55840.08 2022-11-30,56258.88 2022-12-30,56680.82</t>
  </si>
  <si>
    <t>2022-08-31,0.09</t>
  </si>
  <si>
    <t>Сделка</t>
  </si>
  <si>
    <t>Долг</t>
  </si>
  <si>
    <t>Проценты</t>
  </si>
  <si>
    <t>Денежный поток</t>
  </si>
  <si>
    <t>NPV базовая</t>
  </si>
  <si>
    <t>NPV стрессовая</t>
  </si>
  <si>
    <t>dNPV</t>
  </si>
  <si>
    <t>ИТОГО</t>
  </si>
  <si>
    <t>Источник: Банк России. Ключевая ставка.</t>
  </si>
  <si>
    <t>https://www.cbr.ru/hd_base/KeyRate/</t>
  </si>
  <si>
    <t>История по 15.10.2026</t>
  </si>
  <si>
    <t>Дата</t>
  </si>
  <si>
    <t>Ключевая ставка</t>
  </si>
  <si>
    <t>Дата, на которую выполняется расчет</t>
  </si>
  <si>
    <t>Код, по которому выбирается способ построения платежей</t>
  </si>
  <si>
    <t>Номер сделки</t>
  </si>
  <si>
    <t>Первоначальная сумма основного долга</t>
  </si>
  <si>
    <t>Остаток основного долга на дату расчёта</t>
  </si>
  <si>
    <t>Дата начала сделки</t>
  </si>
  <si>
    <t>Дата окончания сделки</t>
  </si>
  <si>
    <t>Процентная ставка</t>
  </si>
  <si>
    <t>код базового процентного индикатора, к которому привязана плавающая ставка сделки</t>
  </si>
  <si>
    <t>Начальная дата правила выплаты процентов</t>
  </si>
  <si>
    <t>Периодичность выплаты процентов</t>
  </si>
  <si>
    <t>День месяца для выплаты</t>
  </si>
  <si>
    <t>правило подсчёта времени для начисления процентов</t>
  </si>
  <si>
    <t>Начальная дата правила, от которой строится расписание регулярных платежей.</t>
  </si>
  <si>
    <t>Периодичность регулярных платежей</t>
  </si>
  <si>
    <t>код периодичности пересмотра процентной ставки по сделке</t>
  </si>
  <si>
    <t>категория банковского продукта, к которому относится сделка</t>
  </si>
  <si>
    <t>код модели поведения клиентов</t>
  </si>
  <si>
    <t>Явно перечисленные даты выплаты процентов</t>
  </si>
  <si>
    <t>Явно перечисленные даты и суммы возврата основного долга</t>
  </si>
  <si>
    <t>car_loans</t>
  </si>
  <si>
    <t>consumer_loans</t>
  </si>
  <si>
    <t>ENDDATE</t>
  </si>
  <si>
    <t>deposits_individual</t>
  </si>
  <si>
    <t>PREPAYMENT_MR8_DEP</t>
  </si>
  <si>
    <t>consumer</t>
  </si>
  <si>
    <t>2022-12-31,250000 2023-01-31,250000 2023-02-28,250000 2023-04-30,356179</t>
  </si>
  <si>
    <t>45D</t>
  </si>
  <si>
    <t>USD</t>
  </si>
  <si>
    <t>5M</t>
  </si>
  <si>
    <t>153D</t>
  </si>
  <si>
    <t>2022-07-15 2022-09-15 2022-12-15</t>
  </si>
  <si>
    <t>3M</t>
  </si>
  <si>
    <t>2023-01-09 2022-11-30 2022-12-30 2022-09-30 2022-10-31 2022-08-31</t>
  </si>
  <si>
    <t>2022-11-30,52250.0 2023-01-09,52250.0 2022-10-31,52250.0</t>
  </si>
  <si>
    <t>2022-08-31 2022-09-30 2022-10-31 2022-11-30 2022-12-30 2023-01-09</t>
  </si>
  <si>
    <t>2022-10-31,52250.0 2022-11-30,52250.0 2023-01-09,52250.0</t>
  </si>
  <si>
    <t>2022-08-31 2022-09-30 2022-10-30 2022-11-29 2022-12-29</t>
  </si>
  <si>
    <t>2022-08-31,0.05</t>
  </si>
  <si>
    <t>-1M</t>
  </si>
  <si>
    <t>2022-09-30 2022-10-31 2022-12-02 2023-01-09 2023-01-31 2023-02-28 2023-03-31</t>
  </si>
  <si>
    <t>2022-10-31,117583.73 2022-12-02,116362.61 2023-01-09,104933.2 2023-01-31,138048.42 2023-02-28,126817.79 2023-03-31,121764.35 2023-04-30,124575.16</t>
  </si>
  <si>
    <t>2025-04-30 2025-06-30 2025-06-02 2025-04-30</t>
  </si>
  <si>
    <t>2025-07-04,9020721.21</t>
  </si>
  <si>
    <t>бакеты</t>
  </si>
  <si>
    <t>1d</t>
  </si>
  <si>
    <t>1m</t>
  </si>
  <si>
    <t>3m</t>
  </si>
  <si>
    <t>6m</t>
  </si>
  <si>
    <t>9m</t>
  </si>
  <si>
    <t>1y</t>
  </si>
  <si>
    <t>1.5y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</si>
  <si>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</si>
  <si>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</si>
  <si>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</si>
  <si>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</si>
  <si>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</si>
  <si>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</si>
  <si>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</si>
  <si>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</si>
  <si>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</si>
  <si>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15y</t>
  </si>
  <si>
    <t>20y</t>
  </si>
  <si>
    <t>30y</t>
  </si>
  <si>
    <t>тенор</t>
  </si>
  <si>
    <t>Дисконтированный денежный поток в базовом сценарии</t>
  </si>
  <si>
    <t>Дисконтированный денежный поток в стрессовом сценарии</t>
  </si>
  <si>
    <t>Суммарная ежемесячная выплата</t>
  </si>
  <si>
    <t>До окончания сделки с даты рассчета</t>
  </si>
  <si>
    <t>Даты будущих платежей</t>
  </si>
  <si>
    <t>Платеж</t>
  </si>
  <si>
    <t>Суммы возврата основного долга</t>
  </si>
  <si>
    <t>Остаток долга после каждого погашения</t>
  </si>
  <si>
    <t>Суммы процентов</t>
  </si>
  <si>
    <t>Общий денежный поток</t>
  </si>
  <si>
    <t>Дней до выплат</t>
  </si>
  <si>
    <t>Бакет</t>
  </si>
  <si>
    <t>Текущая стоимость каждого потока в базовом сценарии</t>
  </si>
  <si>
    <t>Суммарная текущая стоимость сделки в базовом сценарии</t>
  </si>
  <si>
    <t>Текущая стоимость каждого потока в стрессовом сценарии</t>
  </si>
  <si>
    <t>Суммарная текущая стоимость сделки в стрессовом сценарии</t>
  </si>
  <si>
    <t>Изменение стоимости — dNPV</t>
  </si>
  <si>
    <t>PRINCIPAL /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</si>
</sst>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  <numFmt numFmtId="168" formatCode="dd\.mm\.yyyy"/>
    <numFmt numFmtId="169" formatCode="#\ ##0.00"/>
    <numFmt numFmtId="170" formatCode="0.########"/>
    <numFmt numFmtId="171" formatCode="_-* #,##0_-;\-* #,##0_-;_-* &quot;-&quot;??_-;_-@_-"/>
  </numFmts>
  <fonts count="27">
    <font>
      <sz val="11"/>
      <name val="Carlito"/>
    </font>
    <font>
      <b/>
      <sz val="11"/>
      <name val="Carlito"/>
    </font>
    <font>
      <b/>
      <sz val="11"/>
      <name val="Arial"/>
    </font>
    <font>
      <sz val="11"/>
      <name val="Arial"/>
    </font>
    <font>
      <b/>
      <sz val="10"/>
      <color rgb="FFFFFFFF"/>
      <name val="Arial"/>
    </font>
    <font>
      <sz val="11"/>
      <color theme="1"/>
      <name val="Calibri"/>
      <scheme val="minor"/>
    </font>
    <font>
      <sz val="10"/>
      <name val="Arial"/>
    </font>
    <font>
      <i/>
      <sz val="11"/>
      <name val="Carlito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name val="Carlito"/>
    </font>
  </fonts>
  <fills count="39">
    <fill>
      <patternFill patternType="none"/>
    </fill>
    <fill>
      <patternFill patternType="gray125"/>
    </fill>
    <fill>
      <patternFill patternType="solid">
        <fgColor rgb="FF254563"/>
      </patternFill>
    </fill>
    <fill>
      <patternFill patternType="solid">
        <fgColor theme="3" tint="0.749992370372631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64" fontId="5" fillId="0" borderId="0" applyFont="0" applyFill="0" applyBorder="0" applyAlignment="0" applyProtection="0">
      <alignment vertical="center"/>
    </xf>
    <xf numFmtId="165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66" fontId="5" fillId="0" borderId="0" applyFont="0" applyFill="0" applyBorder="0" applyAlignment="0" applyProtection="0">
      <alignment vertical="center"/>
    </xf>
    <xf numFmtId="167" fontId="5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0" borderId="0"/>
    <xf numFmtId="43" fontId="26" fillId="0" borderId="0" applyFont="0" applyFill="0" applyBorder="0" applyAlignment="0" applyProtection="0"/>
  </cellStyleXfs>
  <cellXfs count="44">
    <xf numFmtId="0" fontId="0" fillId="0" borderId="0" xfId="0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169" fontId="3" fillId="0" borderId="0" xfId="0" applyNumberFormat="1" applyFont="1" applyFill="1" applyBorder="1" applyAlignment="1"/>
    <xf numFmtId="0" fontId="4" fillId="2" borderId="1" xfId="49" applyNumberFormat="1" applyFont="1" applyFill="1" applyBorder="1" applyAlignment="1">
      <alignment vertical="center"/>
    </xf>
    <xf numFmtId="0" fontId="26" fillId="3" borderId="0" xfId="49" applyFill="1" applyAlignment="1">
      <alignment wrapText="1"/>
    </xf>
    <xf numFmtId="0" fontId="5" fillId="3" borderId="0" xfId="0" applyFont="1" applyFill="1" applyAlignment="1">
      <alignment vertical="center" wrapText="1"/>
    </xf>
    <xf numFmtId="168" fontId="6" fillId="4" borderId="1" xfId="49" applyNumberFormat="1" applyFont="1" applyFill="1" applyBorder="1" applyAlignment="1">
      <alignment vertical="center" wrapText="1"/>
    </xf>
    <xf numFmtId="0" fontId="6" fillId="4" borderId="1" xfId="49" applyNumberFormat="1" applyFont="1" applyFill="1" applyBorder="1" applyAlignment="1">
      <alignment vertical="center" wrapText="1"/>
    </xf>
    <xf numFmtId="169" fontId="6" fillId="4" borderId="1" xfId="49" applyNumberFormat="1" applyFont="1" applyFill="1" applyBorder="1" applyAlignment="1">
      <alignment vertical="center" wrapText="1"/>
    </xf>
    <xf numFmtId="0" fontId="5" fillId="5" borderId="1" xfId="0" applyFont="1" applyFill="1" applyBorder="1" applyAlignment="1"/>
    <xf numFmtId="0" fontId="5" fillId="0" borderId="0" xfId="0" applyFont="1" applyFill="1" applyAlignment="1"/>
    <xf numFmtId="0" fontId="5" fillId="6" borderId="1" xfId="0" applyFont="1" applyFill="1" applyBorder="1" applyAlignment="1">
      <alignment wrapText="1"/>
    </xf>
    <xf numFmtId="0" fontId="5" fillId="6" borderId="1" xfId="0" applyFont="1" applyFill="1" applyBorder="1" applyAlignment="1"/>
    <xf numFmtId="0" fontId="5" fillId="0" borderId="0" xfId="0" applyFont="1" applyFill="1" applyBorder="1" applyAlignment="1"/>
    <xf numFmtId="0" fontId="5" fillId="0" borderId="1" xfId="0" applyFont="1" applyBorder="1">
      <alignment vertical="center"/>
    </xf>
    <xf numFmtId="0" fontId="26" fillId="0" borderId="1" xfId="49" applyBorder="1"/>
    <xf numFmtId="169" fontId="26" fillId="0" borderId="0" xfId="49" applyNumberFormat="1"/>
    <xf numFmtId="0" fontId="1" fillId="0" borderId="0" xfId="49" applyFont="1" applyAlignment="1">
      <alignment wrapText="1"/>
    </xf>
    <xf numFmtId="0" fontId="7" fillId="0" borderId="0" xfId="49" applyFont="1" applyAlignment="1">
      <alignment wrapText="1"/>
    </xf>
    <xf numFmtId="0" fontId="4" fillId="2" borderId="1" xfId="49" applyNumberFormat="1" applyFont="1" applyFill="1" applyBorder="1" applyAlignment="1">
      <alignment horizontal="center" vertical="center"/>
    </xf>
    <xf numFmtId="0" fontId="26" fillId="3" borderId="1" xfId="49" applyFill="1" applyBorder="1" applyAlignment="1">
      <alignment horizontal="center" wrapText="1"/>
    </xf>
    <xf numFmtId="0" fontId="26" fillId="3" borderId="1" xfId="49" applyFill="1" applyBorder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6" fillId="4" borderId="1" xfId="49" applyNumberFormat="1" applyFont="1" applyFill="1" applyBorder="1" applyAlignment="1">
      <alignment horizontal="center" vertical="center" wrapText="1"/>
    </xf>
    <xf numFmtId="170" fontId="6" fillId="4" borderId="1" xfId="49" applyNumberFormat="1" applyFont="1" applyFill="1" applyBorder="1" applyAlignment="1">
      <alignment vertical="center" wrapText="1"/>
    </xf>
    <xf numFmtId="168" fontId="6" fillId="4" borderId="1" xfId="49" applyNumberFormat="1" applyFont="1" applyFill="1" applyBorder="1" applyAlignment="1">
      <alignment horizontal="center" vertical="center" wrapText="1"/>
    </xf>
    <xf numFmtId="170" fontId="6" fillId="4" borderId="1" xfId="49" applyNumberFormat="1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0" fontId="26" fillId="3" borderId="0" xfId="49" applyFill="1" applyAlignment="1">
      <alignment horizontal="center" wrapText="1"/>
    </xf>
    <xf numFmtId="0" fontId="26" fillId="4" borderId="0" xfId="49" applyFill="1"/>
    <xf numFmtId="168" fontId="0" fillId="0" borderId="0" xfId="0" applyNumberFormat="1" applyFont="1" applyFill="1" applyBorder="1" applyAlignment="1"/>
    <xf numFmtId="10" fontId="0" fillId="0" borderId="0" xfId="0" applyNumberFormat="1" applyFont="1" applyFill="1" applyBorder="1" applyAlignment="1"/>
    <xf numFmtId="0" fontId="26" fillId="0" borderId="0" xfId="0" applyNumberFormat="1" applyFont="1" applyFill="1" applyBorder="1" applyAlignment="1"/>
    <xf numFmtId="168" fontId="26" fillId="0" borderId="0" xfId="0" applyNumberFormat="1" applyFont="1" applyFill="1" applyBorder="1" applyAlignment="1"/>
    <xf numFmtId="4" fontId="26" fillId="0" borderId="0" xfId="0" applyNumberFormat="1" applyFont="1" applyFill="1" applyBorder="1" applyAlignment="1"/>
    <xf numFmtId="1" fontId="26" fillId="0" borderId="0" xfId="0" applyNumberFormat="1" applyFont="1" applyFill="1" applyBorder="1" applyAlignment="1"/>
    <xf numFmtId="171" fontId="0" fillId="0" borderId="0" xfId="50" applyNumberFormat="1" applyFont="1" applyAlignment="1"/>
    <xf numFmtId="0" fontId="26" fillId="38" borderId="0" xfId="0" applyNumberFormat="1" applyFont="1" applyFill="1" applyBorder="1" applyAlignment="1"/>
    <xf numFmtId="168" fontId="26" fillId="38" borderId="0" xfId="0" applyNumberFormat="1" applyFont="1" applyFill="1" applyBorder="1" applyAlignment="1"/>
    <xf numFmtId="4" fontId="26" fillId="38" borderId="0" xfId="0" applyNumberFormat="1" applyFont="1" applyFill="1" applyBorder="1" applyAlignment="1"/>
    <xf numFmtId="1" fontId="26" fillId="38" borderId="0" xfId="0" applyNumberFormat="1" applyFont="1" applyFill="1" applyBorder="1" applyAlignment="1"/>
    <xf numFmtId="0" fontId="0" fillId="38" borderId="0" xfId="0" applyFill="1" applyAlignment="1"/>
  </cellXfs>
  <cellStyles count="51">
    <cellStyle name="20% — Акцент1" xfId="26" xr:uid="{00000000-0005-0000-0000-00001A000000}"/>
    <cellStyle name="20% — Акцент2" xfId="30" xr:uid="{00000000-0005-0000-0000-00001E000000}"/>
    <cellStyle name="20% — Акцент3" xfId="34" xr:uid="{00000000-0005-0000-0000-000022000000}"/>
    <cellStyle name="20% — Акцент4" xfId="38" xr:uid="{00000000-0005-0000-0000-000026000000}"/>
    <cellStyle name="20% — Акцент5" xfId="42" xr:uid="{00000000-0005-0000-0000-00002A000000}"/>
    <cellStyle name="20% — Акцент6" xfId="46" xr:uid="{00000000-0005-0000-0000-00002E000000}"/>
    <cellStyle name="40% — Акцент1" xfId="27" xr:uid="{00000000-0005-0000-0000-00001B000000}"/>
    <cellStyle name="40% — Акцент2" xfId="31" xr:uid="{00000000-0005-0000-0000-00001F000000}"/>
    <cellStyle name="40% — Акцент3" xfId="35" xr:uid="{00000000-0005-0000-0000-000023000000}"/>
    <cellStyle name="40% — Акцент4" xfId="39" xr:uid="{00000000-0005-0000-0000-000027000000}"/>
    <cellStyle name="40% — Акцент5" xfId="43" xr:uid="{00000000-0005-0000-0000-00002B000000}"/>
    <cellStyle name="40% — Акцент6" xfId="47" xr:uid="{00000000-0005-0000-0000-00002F000000}"/>
    <cellStyle name="60% — Акцент1" xfId="28" xr:uid="{00000000-0005-0000-0000-00001C000000}"/>
    <cellStyle name="60% — Акцент2" xfId="32" xr:uid="{00000000-0005-0000-0000-000020000000}"/>
    <cellStyle name="60% — Акцент3" xfId="36" xr:uid="{00000000-0005-0000-0000-000024000000}"/>
    <cellStyle name="60% — Акцент4" xfId="40" xr:uid="{00000000-0005-0000-0000-000028000000}"/>
    <cellStyle name="60% — Акцент5" xfId="44" xr:uid="{00000000-0005-0000-0000-00002C000000}"/>
    <cellStyle name="60% — Акцент6" xfId="48" xr:uid="{00000000-0005-0000-0000-000030000000}"/>
    <cellStyle name="Normal" xfId="49" xr:uid="{00000000-0005-0000-0000-000031000000}"/>
    <cellStyle name="Акцент1" xfId="25" xr:uid="{00000000-0005-0000-0000-000019000000}"/>
    <cellStyle name="Акцент2" xfId="29" xr:uid="{00000000-0005-0000-0000-00001D000000}"/>
    <cellStyle name="Акцент3" xfId="33" xr:uid="{00000000-0005-0000-0000-000021000000}"/>
    <cellStyle name="Акцент4" xfId="37" xr:uid="{00000000-0005-0000-0000-000025000000}"/>
    <cellStyle name="Акцент5" xfId="41" xr:uid="{00000000-0005-0000-0000-000029000000}"/>
    <cellStyle name="Акцент6" xfId="45" xr:uid="{00000000-0005-0000-0000-00002D000000}"/>
    <cellStyle name="Ввод" xfId="16" xr:uid="{00000000-0005-0000-0000-000010000000}"/>
    <cellStyle name="Вывод" xfId="17" xr:uid="{00000000-0005-0000-0000-000011000000}"/>
    <cellStyle name="Вычисление" xfId="18" xr:uid="{00000000-0005-0000-0000-000012000000}"/>
    <cellStyle name="Гиперссылка" xfId="6" xr:uid="{00000000-0005-0000-0000-000006000000}"/>
    <cellStyle name="Денежный" xfId="2" xr:uid="{00000000-0005-0000-0000-000002000000}"/>
    <cellStyle name="Денежный [0]" xfId="5" xr:uid="{00000000-0005-0000-0000-000005000000}"/>
    <cellStyle name="Заголовок" xfId="10" xr:uid="{00000000-0005-0000-0000-00000A000000}"/>
    <cellStyle name="Заголовок 1" xfId="12" xr:uid="{00000000-0005-0000-0000-00000C000000}"/>
    <cellStyle name="Заголовок 2" xfId="13" xr:uid="{00000000-0005-0000-0000-00000D000000}"/>
    <cellStyle name="Заголовок 3" xfId="14" xr:uid="{00000000-0005-0000-0000-00000E000000}"/>
    <cellStyle name="Заголовок 4" xfId="15" xr:uid="{00000000-0005-0000-0000-00000F000000}"/>
    <cellStyle name="Запятая" xfId="1" xr:uid="{00000000-0005-0000-0000-000001000000}"/>
    <cellStyle name="Запятая [0]" xfId="4" xr:uid="{00000000-0005-0000-0000-000004000000}"/>
    <cellStyle name="Итого" xfId="21" xr:uid="{00000000-0005-0000-0000-000015000000}"/>
    <cellStyle name="Нейтральный" xfId="24" xr:uid="{00000000-0005-0000-0000-000018000000}"/>
    <cellStyle name="Обычный" xfId="0" builtinId="0"/>
    <cellStyle name="Открывавшаяся гиперссылка" xfId="7" xr:uid="{00000000-0005-0000-0000-000007000000}"/>
    <cellStyle name="Плохой" xfId="23" xr:uid="{00000000-0005-0000-0000-000017000000}"/>
    <cellStyle name="Пояснительный текст" xfId="11" xr:uid="{00000000-0005-0000-0000-00000B000000}"/>
    <cellStyle name="Предупреждающий текст" xfId="9" xr:uid="{00000000-0005-0000-0000-000009000000}"/>
    <cellStyle name="Примечание" xfId="8" xr:uid="{00000000-0005-0000-0000-000008000000}"/>
    <cellStyle name="Проверить ячейку" xfId="19" xr:uid="{00000000-0005-0000-0000-000013000000}"/>
    <cellStyle name="Процент" xfId="3" xr:uid="{00000000-0005-0000-0000-000003000000}"/>
    <cellStyle name="Связанная ячейка" xfId="20" xr:uid="{00000000-0005-0000-0000-000014000000}"/>
    <cellStyle name="Финансовый" xfId="50" builtinId="3"/>
    <cellStyle name="Хороший" xfId="22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1"/>
  <sheetViews>
    <sheetView workbookViewId="0">
      <selection activeCell="J17" sqref="J17"/>
    </sheetView>
  </sheetViews>
  <sheetFormatPr defaultColWidth="8.75" defaultRowHeight="14.25"/>
  <cols>
    <col min="1" max="1" width="11" customWidth="1"/>
    <col min="2" max="2" width="12" customWidth="1"/>
    <col min="3" max="3" width="7" customWidth="1"/>
    <col min="4" max="4" width="10.875" customWidth="1"/>
    <col min="5" max="5" width="17.375" customWidth="1"/>
    <col min="6" max="6" width="19.75" customWidth="1"/>
    <col min="7" max="7" width="9.75" customWidth="1"/>
    <col min="8" max="8" width="12.75" customWidth="1"/>
    <col min="9" max="9" width="11.875" customWidth="1"/>
    <col min="10" max="10" width="11.75" customWidth="1"/>
    <col min="11" max="11" width="17.75" customWidth="1"/>
    <col min="12" max="12" width="13.375" customWidth="1"/>
    <col min="13" max="13" width="30.25" customWidth="1"/>
    <col min="14" max="14" width="29.75" customWidth="1"/>
    <col min="15" max="15" width="29" customWidth="1"/>
    <col min="16" max="16" width="17.5" customWidth="1"/>
    <col min="17" max="17" width="29.75" customWidth="1"/>
    <col min="18" max="18" width="29.25" customWidth="1"/>
    <col min="19" max="19" width="28.5" customWidth="1"/>
    <col min="20" max="20" width="22.75" customWidth="1"/>
    <col min="21" max="21" width="22.375" customWidth="1"/>
    <col min="22" max="22" width="21.625" customWidth="1"/>
    <col min="23" max="23" width="15.25" customWidth="1"/>
    <col min="24" max="24" width="7.75" customWidth="1"/>
    <col min="25" max="25" width="21.75" customWidth="1"/>
    <col min="26" max="26" width="15.75" customWidth="1"/>
    <col min="27" max="27" width="16.5" customWidth="1"/>
    <col min="28" max="28" width="22.25" customWidth="1"/>
    <col min="29" max="29" width="26.625" customWidth="1"/>
    <col min="30" max="30" width="31.75" customWidth="1"/>
    <col min="31" max="31" width="20.375" customWidth="1"/>
    <col min="32" max="32" width="21.25" customWidth="1"/>
    <col min="33" max="33" width="16.25" customWidth="1"/>
    <col min="34" max="34" width="15.875" customWidth="1"/>
    <col min="35" max="35" width="17.25" customWidth="1"/>
    <col min="36" max="36" width="26.25" customWidth="1"/>
    <col min="37" max="37" width="25.5" customWidth="1"/>
    <col min="38" max="38" width="26.75" customWidth="1"/>
    <col min="39" max="39" width="27.125" customWidth="1"/>
    <col min="40" max="40" width="26.625" customWidth="1"/>
    <col min="41" max="41" width="25.875" customWidth="1"/>
    <col min="42" max="42" width="24.625" customWidth="1"/>
    <col min="43" max="43" width="25.5" customWidth="1"/>
    <col min="44" max="44" width="14.75" customWidth="1"/>
    <col min="45" max="45" width="15.625" customWidth="1"/>
    <col min="46" max="46" width="30.25" customWidth="1"/>
    <col min="47" max="47" width="14.875" customWidth="1"/>
    <col min="48" max="48" width="19.25" customWidth="1"/>
  </cols>
  <sheetData>
    <row r="1" spans="1:49" ht="3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1" t="s">
        <v>8</v>
      </c>
      <c r="J1" s="5" t="s">
        <v>9</v>
      </c>
      <c r="K1" s="5" t="s">
        <v>10</v>
      </c>
      <c r="L1" s="5" t="s">
        <v>11</v>
      </c>
      <c r="M1" s="21" t="s">
        <v>12</v>
      </c>
      <c r="N1" s="21" t="s">
        <v>13</v>
      </c>
      <c r="O1" s="21" t="s">
        <v>14</v>
      </c>
      <c r="P1" s="5" t="s">
        <v>15</v>
      </c>
      <c r="Q1" s="21" t="s">
        <v>16</v>
      </c>
      <c r="R1" s="21" t="s">
        <v>17</v>
      </c>
      <c r="S1" s="21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t="s">
        <v>48</v>
      </c>
    </row>
    <row r="2" spans="1:49" s="31" customFormat="1" ht="21.95" customHeight="1">
      <c r="A2" s="8">
        <v>44804</v>
      </c>
      <c r="B2" s="9" t="s">
        <v>49</v>
      </c>
      <c r="C2" s="9" t="s">
        <v>50</v>
      </c>
      <c r="D2" s="9" t="s">
        <v>51</v>
      </c>
      <c r="E2" s="10"/>
      <c r="F2" s="10">
        <v>3646037.89</v>
      </c>
      <c r="G2" s="8">
        <v>44004</v>
      </c>
      <c r="H2" s="8">
        <v>54954</v>
      </c>
      <c r="I2" s="25" t="s">
        <v>52</v>
      </c>
      <c r="J2" s="26">
        <v>7.4999999999999997E-2</v>
      </c>
      <c r="K2" s="26"/>
      <c r="L2" s="9"/>
      <c r="M2" s="27"/>
      <c r="N2" s="25"/>
      <c r="O2" s="28"/>
      <c r="P2" s="9" t="s">
        <v>53</v>
      </c>
      <c r="Q2" s="27">
        <v>44004</v>
      </c>
      <c r="R2" s="25" t="s">
        <v>54</v>
      </c>
      <c r="S2" s="28"/>
      <c r="T2" s="8"/>
      <c r="U2" s="9"/>
      <c r="V2" s="26"/>
      <c r="W2" s="10"/>
      <c r="X2" s="9"/>
      <c r="Y2" s="9" t="s">
        <v>55</v>
      </c>
      <c r="Z2" s="9"/>
      <c r="AA2" s="9"/>
      <c r="AB2" s="8"/>
      <c r="AC2" s="9"/>
      <c r="AD2" s="9"/>
      <c r="AE2" s="26"/>
      <c r="AF2" s="26"/>
      <c r="AG2" s="9"/>
      <c r="AH2" s="26"/>
      <c r="AI2" s="9"/>
      <c r="AJ2" s="9"/>
      <c r="AK2" s="26"/>
      <c r="AL2" s="8"/>
      <c r="AM2" s="8"/>
      <c r="AN2" s="9"/>
      <c r="AO2" s="26"/>
      <c r="AP2" s="9"/>
      <c r="AQ2" s="26"/>
      <c r="AR2" s="26"/>
      <c r="AS2" s="8">
        <v>44804</v>
      </c>
      <c r="AT2" s="26"/>
      <c r="AU2" s="9"/>
      <c r="AV2" s="9"/>
    </row>
    <row r="3" spans="1:49" s="31" customFormat="1" ht="21.95" customHeight="1">
      <c r="A3" s="8">
        <v>44804</v>
      </c>
      <c r="B3" s="9" t="s">
        <v>49</v>
      </c>
      <c r="C3" s="9" t="s">
        <v>56</v>
      </c>
      <c r="D3" s="9" t="s">
        <v>51</v>
      </c>
      <c r="E3" s="10"/>
      <c r="F3" s="10">
        <v>4800112.4800000004</v>
      </c>
      <c r="G3" s="8">
        <v>44182</v>
      </c>
      <c r="H3" s="8">
        <v>47772</v>
      </c>
      <c r="I3" s="25" t="s">
        <v>52</v>
      </c>
      <c r="J3" s="26">
        <v>7.4264150000000001E-2</v>
      </c>
      <c r="K3" s="26"/>
      <c r="L3" s="9"/>
      <c r="M3" s="27"/>
      <c r="N3" s="25"/>
      <c r="O3" s="28"/>
      <c r="P3" s="9" t="s">
        <v>53</v>
      </c>
      <c r="Q3" s="27">
        <v>44182</v>
      </c>
      <c r="R3" s="25" t="s">
        <v>54</v>
      </c>
      <c r="S3" s="28"/>
      <c r="T3" s="8"/>
      <c r="U3" s="9"/>
      <c r="V3" s="26"/>
      <c r="W3" s="10"/>
      <c r="X3" s="9"/>
      <c r="Y3" s="9" t="s">
        <v>57</v>
      </c>
      <c r="Z3" s="9"/>
      <c r="AA3" s="9"/>
      <c r="AB3" s="8"/>
      <c r="AC3" s="9"/>
      <c r="AD3" s="9"/>
      <c r="AE3" s="26"/>
      <c r="AF3" s="26"/>
      <c r="AG3" s="9"/>
      <c r="AH3" s="26"/>
      <c r="AI3" s="9"/>
      <c r="AJ3" s="9"/>
      <c r="AK3" s="26"/>
      <c r="AL3" s="8"/>
      <c r="AM3" s="8"/>
      <c r="AN3" s="9"/>
      <c r="AO3" s="26"/>
      <c r="AP3" s="9"/>
      <c r="AQ3" s="26"/>
      <c r="AR3" s="26"/>
      <c r="AS3" s="8">
        <v>44804</v>
      </c>
      <c r="AT3" s="26"/>
      <c r="AU3" s="9"/>
      <c r="AV3" s="9"/>
    </row>
    <row r="4" spans="1:49" s="31" customFormat="1" ht="21.95" customHeight="1">
      <c r="A4" s="8">
        <v>44804</v>
      </c>
      <c r="B4" s="9" t="s">
        <v>49</v>
      </c>
      <c r="C4" s="9" t="s">
        <v>58</v>
      </c>
      <c r="D4" s="9" t="s">
        <v>51</v>
      </c>
      <c r="E4" s="10"/>
      <c r="F4" s="10">
        <v>290027.78000000003</v>
      </c>
      <c r="G4" s="8">
        <v>41879</v>
      </c>
      <c r="H4" s="8">
        <v>45599</v>
      </c>
      <c r="I4" s="25" t="s">
        <v>52</v>
      </c>
      <c r="J4" s="26">
        <v>0.13</v>
      </c>
      <c r="K4" s="26"/>
      <c r="L4" s="9"/>
      <c r="M4" s="27">
        <v>41581</v>
      </c>
      <c r="N4" s="25" t="s">
        <v>54</v>
      </c>
      <c r="O4" s="28">
        <v>3</v>
      </c>
      <c r="P4" s="9" t="s">
        <v>59</v>
      </c>
      <c r="Q4" s="27">
        <v>41581</v>
      </c>
      <c r="R4" s="25" t="s">
        <v>54</v>
      </c>
      <c r="S4" s="28">
        <v>3</v>
      </c>
      <c r="T4" s="8"/>
      <c r="U4" s="9"/>
      <c r="V4" s="26"/>
      <c r="W4" s="10"/>
      <c r="X4" s="9" t="s">
        <v>60</v>
      </c>
      <c r="Y4" s="9" t="s">
        <v>61</v>
      </c>
      <c r="Z4" s="9"/>
      <c r="AA4" s="9"/>
      <c r="AB4" s="8"/>
      <c r="AC4" s="9"/>
      <c r="AD4" s="9"/>
      <c r="AE4" s="26"/>
      <c r="AF4" s="26"/>
      <c r="AG4" s="9"/>
      <c r="AH4" s="26"/>
      <c r="AI4" s="9"/>
      <c r="AJ4" s="9"/>
      <c r="AK4" s="26"/>
      <c r="AL4" s="8"/>
      <c r="AM4" s="8"/>
      <c r="AN4" s="9"/>
      <c r="AO4" s="26"/>
      <c r="AP4" s="9"/>
      <c r="AQ4" s="26"/>
      <c r="AR4" s="26"/>
      <c r="AS4" s="8">
        <v>44804</v>
      </c>
      <c r="AT4" s="26"/>
      <c r="AU4" s="9"/>
      <c r="AV4" s="9"/>
    </row>
    <row r="5" spans="1:49" s="31" customFormat="1" ht="51">
      <c r="A5" s="8">
        <v>44804</v>
      </c>
      <c r="B5" s="9" t="s">
        <v>62</v>
      </c>
      <c r="C5" s="9" t="s">
        <v>63</v>
      </c>
      <c r="D5" s="9" t="s">
        <v>51</v>
      </c>
      <c r="E5" s="10"/>
      <c r="F5" s="10">
        <v>1047077.3</v>
      </c>
      <c r="G5" s="8">
        <v>44158</v>
      </c>
      <c r="H5" s="8">
        <v>45046</v>
      </c>
      <c r="I5" s="25" t="s">
        <v>52</v>
      </c>
      <c r="J5" s="26">
        <v>6.0999999999999999E-2</v>
      </c>
      <c r="K5" s="26"/>
      <c r="L5" s="9"/>
      <c r="M5" s="27">
        <v>44158</v>
      </c>
      <c r="N5" s="25" t="s">
        <v>54</v>
      </c>
      <c r="O5" s="28">
        <v>7</v>
      </c>
      <c r="P5" s="9" t="s">
        <v>59</v>
      </c>
      <c r="Q5" s="27"/>
      <c r="R5" s="25"/>
      <c r="S5" s="28"/>
      <c r="T5" s="8"/>
      <c r="U5" s="9"/>
      <c r="V5" s="26"/>
      <c r="W5" s="10"/>
      <c r="X5" s="9" t="s">
        <v>60</v>
      </c>
      <c r="Y5" s="9" t="s">
        <v>57</v>
      </c>
      <c r="Z5" s="9"/>
      <c r="AA5" s="9" t="s">
        <v>64</v>
      </c>
      <c r="AB5" s="8"/>
      <c r="AC5" s="9"/>
      <c r="AD5" s="9"/>
      <c r="AE5" s="26"/>
      <c r="AF5" s="26"/>
      <c r="AG5" s="9"/>
      <c r="AH5" s="26"/>
      <c r="AI5" s="9"/>
      <c r="AJ5" s="9"/>
      <c r="AK5" s="26"/>
      <c r="AL5" s="8"/>
      <c r="AM5" s="8"/>
      <c r="AN5" s="9"/>
      <c r="AO5" s="26"/>
      <c r="AP5" s="9"/>
      <c r="AQ5" s="26"/>
      <c r="AR5" s="26"/>
      <c r="AS5" s="8">
        <v>44804</v>
      </c>
      <c r="AT5" s="26"/>
      <c r="AU5" s="9"/>
      <c r="AV5" s="9"/>
    </row>
    <row r="6" spans="1:49" s="31" customFormat="1" ht="51">
      <c r="A6" s="8">
        <v>44804</v>
      </c>
      <c r="B6" s="9" t="s">
        <v>62</v>
      </c>
      <c r="C6" s="9" t="s">
        <v>65</v>
      </c>
      <c r="D6" s="9" t="s">
        <v>51</v>
      </c>
      <c r="E6" s="10"/>
      <c r="F6" s="10">
        <v>1047077.3</v>
      </c>
      <c r="G6" s="8">
        <v>44158</v>
      </c>
      <c r="H6" s="8">
        <v>45046</v>
      </c>
      <c r="I6" s="25" t="s">
        <v>52</v>
      </c>
      <c r="J6" s="26">
        <v>6.0999999999999999E-2</v>
      </c>
      <c r="K6" s="26"/>
      <c r="L6" s="9"/>
      <c r="M6" s="27"/>
      <c r="N6" s="25"/>
      <c r="O6" s="28"/>
      <c r="P6" s="9" t="s">
        <v>59</v>
      </c>
      <c r="Q6" s="27"/>
      <c r="R6" s="25"/>
      <c r="S6" s="28"/>
      <c r="T6" s="8"/>
      <c r="U6" s="9"/>
      <c r="V6" s="26"/>
      <c r="W6" s="10"/>
      <c r="X6" s="9" t="s">
        <v>66</v>
      </c>
      <c r="Y6" s="9" t="s">
        <v>67</v>
      </c>
      <c r="Z6" s="9" t="s">
        <v>68</v>
      </c>
      <c r="AA6" s="9" t="s">
        <v>64</v>
      </c>
      <c r="AB6" s="8"/>
      <c r="AC6" s="9"/>
      <c r="AD6" s="9"/>
      <c r="AE6" s="26"/>
      <c r="AF6" s="26"/>
      <c r="AG6" s="9"/>
      <c r="AH6" s="26"/>
      <c r="AI6" s="9"/>
      <c r="AJ6" s="9"/>
      <c r="AK6" s="26"/>
      <c r="AL6" s="8"/>
      <c r="AM6" s="8"/>
      <c r="AN6" s="9"/>
      <c r="AO6" s="26"/>
      <c r="AP6" s="9"/>
      <c r="AQ6" s="26"/>
      <c r="AR6" s="26"/>
      <c r="AS6" s="8">
        <v>44804</v>
      </c>
      <c r="AT6" s="26"/>
      <c r="AU6" s="9"/>
      <c r="AV6" s="9"/>
    </row>
    <row r="7" spans="1:49" s="31" customFormat="1" ht="21.95" customHeight="1">
      <c r="A7" s="8">
        <v>44804</v>
      </c>
      <c r="B7" s="9" t="s">
        <v>49</v>
      </c>
      <c r="C7" s="9" t="s">
        <v>69</v>
      </c>
      <c r="D7" s="9" t="s">
        <v>51</v>
      </c>
      <c r="E7" s="10"/>
      <c r="F7" s="10">
        <v>270000</v>
      </c>
      <c r="G7" s="8">
        <v>44671</v>
      </c>
      <c r="H7" s="8">
        <v>45493</v>
      </c>
      <c r="I7" s="25" t="s">
        <v>52</v>
      </c>
      <c r="J7" s="26">
        <v>0.11899999999999999</v>
      </c>
      <c r="K7" s="26"/>
      <c r="L7" s="9"/>
      <c r="M7" s="27">
        <v>44671</v>
      </c>
      <c r="N7" s="25" t="s">
        <v>54</v>
      </c>
      <c r="O7" s="28">
        <v>20</v>
      </c>
      <c r="P7" s="9" t="s">
        <v>59</v>
      </c>
      <c r="Q7" s="27">
        <v>44671</v>
      </c>
      <c r="R7" s="25" t="s">
        <v>54</v>
      </c>
      <c r="S7" s="28">
        <v>20</v>
      </c>
      <c r="T7" s="8"/>
      <c r="U7" s="9"/>
      <c r="V7" s="26"/>
      <c r="W7" s="10"/>
      <c r="X7" s="9" t="s">
        <v>70</v>
      </c>
      <c r="Y7" s="9"/>
      <c r="Z7" s="9"/>
      <c r="AA7" s="9"/>
      <c r="AB7" s="8"/>
      <c r="AC7" s="9"/>
      <c r="AD7" s="9"/>
      <c r="AE7" s="26"/>
      <c r="AF7" s="26"/>
      <c r="AG7" s="9"/>
      <c r="AH7" s="26"/>
      <c r="AI7" s="9"/>
      <c r="AJ7" s="9"/>
      <c r="AK7" s="26"/>
      <c r="AL7" s="8"/>
      <c r="AM7" s="8"/>
      <c r="AN7" s="9"/>
      <c r="AO7" s="26"/>
      <c r="AP7" s="9"/>
      <c r="AQ7" s="26"/>
      <c r="AR7" s="26"/>
      <c r="AS7" s="8">
        <v>44804</v>
      </c>
      <c r="AT7" s="26"/>
      <c r="AU7" s="9"/>
      <c r="AV7" s="9"/>
    </row>
    <row r="8" spans="1:49" s="31" customFormat="1" ht="21.95" customHeight="1">
      <c r="A8" s="8">
        <v>44804</v>
      </c>
      <c r="B8" s="9" t="s">
        <v>71</v>
      </c>
      <c r="C8" s="9" t="s">
        <v>72</v>
      </c>
      <c r="D8" s="9" t="s">
        <v>51</v>
      </c>
      <c r="E8" s="10"/>
      <c r="F8" s="10">
        <v>270000</v>
      </c>
      <c r="G8" s="8">
        <v>44671</v>
      </c>
      <c r="H8" s="8">
        <v>45493</v>
      </c>
      <c r="I8" s="25" t="s">
        <v>52</v>
      </c>
      <c r="J8" s="26">
        <v>0.11899999999999999</v>
      </c>
      <c r="K8" s="26"/>
      <c r="L8" s="9"/>
      <c r="M8" s="27">
        <v>44671</v>
      </c>
      <c r="N8" s="25" t="s">
        <v>54</v>
      </c>
      <c r="O8" s="28">
        <v>20</v>
      </c>
      <c r="P8" s="9" t="s">
        <v>59</v>
      </c>
      <c r="Q8" s="27">
        <v>44671</v>
      </c>
      <c r="R8" s="25" t="s">
        <v>54</v>
      </c>
      <c r="S8" s="28">
        <v>20</v>
      </c>
      <c r="T8" s="8"/>
      <c r="U8" s="9"/>
      <c r="V8" s="26"/>
      <c r="W8" s="10"/>
      <c r="X8" s="9" t="s">
        <v>70</v>
      </c>
      <c r="Y8" s="9"/>
      <c r="Z8" s="9"/>
      <c r="AA8" s="9"/>
      <c r="AB8" s="8"/>
      <c r="AC8" s="9"/>
      <c r="AD8" s="9"/>
      <c r="AE8" s="26"/>
      <c r="AF8" s="26"/>
      <c r="AG8" s="9"/>
      <c r="AH8" s="26"/>
      <c r="AI8" s="9"/>
      <c r="AJ8" s="9"/>
      <c r="AK8" s="26"/>
      <c r="AL8" s="8"/>
      <c r="AM8" s="8"/>
      <c r="AN8" s="9"/>
      <c r="AO8" s="26"/>
      <c r="AP8" s="9"/>
      <c r="AQ8" s="26"/>
      <c r="AR8" s="26"/>
      <c r="AS8" s="8">
        <v>44804</v>
      </c>
      <c r="AT8" s="26"/>
      <c r="AU8" s="9"/>
      <c r="AV8" s="9"/>
    </row>
    <row r="9" spans="1:49" s="31" customFormat="1" ht="63.75">
      <c r="A9" s="8">
        <v>44804</v>
      </c>
      <c r="B9" s="9" t="s">
        <v>62</v>
      </c>
      <c r="C9" s="9" t="s">
        <v>73</v>
      </c>
      <c r="D9" s="9" t="s">
        <v>51</v>
      </c>
      <c r="E9" s="10">
        <v>500000</v>
      </c>
      <c r="F9" s="10">
        <v>500000</v>
      </c>
      <c r="G9" s="8">
        <v>44774</v>
      </c>
      <c r="H9" s="8">
        <v>44927</v>
      </c>
      <c r="I9" s="25" t="s">
        <v>74</v>
      </c>
      <c r="J9" s="26">
        <v>0.05</v>
      </c>
      <c r="K9" s="26"/>
      <c r="L9" s="9" t="s">
        <v>75</v>
      </c>
      <c r="M9" s="27">
        <v>44774</v>
      </c>
      <c r="N9" s="25" t="s">
        <v>54</v>
      </c>
      <c r="O9" s="28">
        <v>1</v>
      </c>
      <c r="P9" s="9" t="s">
        <v>76</v>
      </c>
      <c r="Q9" s="27"/>
      <c r="R9" s="25"/>
      <c r="S9" s="28"/>
      <c r="T9" s="8">
        <v>44713</v>
      </c>
      <c r="U9" s="9" t="s">
        <v>77</v>
      </c>
      <c r="V9" s="26"/>
      <c r="W9" s="10"/>
      <c r="X9" s="9"/>
      <c r="Y9" s="9"/>
      <c r="Z9" s="9"/>
      <c r="AA9" s="9" t="s">
        <v>78</v>
      </c>
      <c r="AB9" s="8"/>
      <c r="AC9" s="9"/>
      <c r="AD9" s="9"/>
      <c r="AE9" s="26"/>
      <c r="AF9" s="26"/>
      <c r="AG9" s="9"/>
      <c r="AH9" s="26"/>
      <c r="AI9" s="9"/>
      <c r="AJ9" s="9"/>
      <c r="AK9" s="26"/>
      <c r="AL9" s="8"/>
      <c r="AM9" s="8"/>
      <c r="AN9" s="9"/>
      <c r="AO9" s="26"/>
      <c r="AP9" s="9"/>
      <c r="AQ9" s="26"/>
      <c r="AR9" s="26"/>
      <c r="AS9" s="8">
        <v>44804</v>
      </c>
      <c r="AT9" s="26"/>
      <c r="AU9" s="9"/>
      <c r="AV9" s="9"/>
    </row>
    <row r="10" spans="1:49" s="31" customFormat="1" ht="21.95" customHeight="1">
      <c r="A10" s="8">
        <v>44804</v>
      </c>
      <c r="B10" s="9" t="s">
        <v>62</v>
      </c>
      <c r="C10" s="9" t="s">
        <v>79</v>
      </c>
      <c r="D10" s="9" t="s">
        <v>51</v>
      </c>
      <c r="E10" s="10">
        <v>500000</v>
      </c>
      <c r="F10" s="10">
        <v>500000</v>
      </c>
      <c r="G10" s="8">
        <v>44774</v>
      </c>
      <c r="H10" s="8">
        <v>44927</v>
      </c>
      <c r="I10" s="25" t="s">
        <v>74</v>
      </c>
      <c r="J10" s="26">
        <v>0.05</v>
      </c>
      <c r="K10" s="26"/>
      <c r="L10" s="9" t="s">
        <v>75</v>
      </c>
      <c r="M10" s="27">
        <v>44774</v>
      </c>
      <c r="N10" s="25" t="s">
        <v>54</v>
      </c>
      <c r="O10" s="28">
        <v>1</v>
      </c>
      <c r="P10" s="9" t="s">
        <v>76</v>
      </c>
      <c r="Q10" s="27"/>
      <c r="R10" s="25"/>
      <c r="S10" s="28"/>
      <c r="T10" s="8">
        <v>44742</v>
      </c>
      <c r="U10" s="9" t="s">
        <v>77</v>
      </c>
      <c r="V10" s="26">
        <v>-1</v>
      </c>
      <c r="W10" s="10"/>
      <c r="X10" s="9"/>
      <c r="Y10" s="9"/>
      <c r="Z10" s="9"/>
      <c r="AA10" s="9"/>
      <c r="AB10" s="8"/>
      <c r="AC10" s="9"/>
      <c r="AD10" s="9"/>
      <c r="AE10" s="26"/>
      <c r="AF10" s="26"/>
      <c r="AG10" s="9"/>
      <c r="AH10" s="26"/>
      <c r="AI10" s="9"/>
      <c r="AJ10" s="9"/>
      <c r="AK10" s="26"/>
      <c r="AL10" s="8"/>
      <c r="AM10" s="8"/>
      <c r="AN10" s="9"/>
      <c r="AO10" s="26"/>
      <c r="AP10" s="9"/>
      <c r="AQ10" s="26"/>
      <c r="AR10" s="26"/>
      <c r="AS10" s="8">
        <v>44804</v>
      </c>
      <c r="AT10" s="26"/>
      <c r="AU10" s="9"/>
      <c r="AV10" s="9"/>
    </row>
    <row r="11" spans="1:49" s="31" customFormat="1" ht="51">
      <c r="A11" s="8">
        <v>44804</v>
      </c>
      <c r="B11" s="9" t="s">
        <v>62</v>
      </c>
      <c r="C11" s="9" t="s">
        <v>80</v>
      </c>
      <c r="D11" s="9" t="s">
        <v>51</v>
      </c>
      <c r="E11" s="10"/>
      <c r="F11" s="10">
        <v>224204.19</v>
      </c>
      <c r="G11" s="8">
        <v>44074</v>
      </c>
      <c r="H11" s="8">
        <v>44925</v>
      </c>
      <c r="I11" s="25" t="s">
        <v>52</v>
      </c>
      <c r="J11" s="26">
        <v>0.09</v>
      </c>
      <c r="K11" s="26"/>
      <c r="L11" s="9"/>
      <c r="M11" s="27"/>
      <c r="N11" s="25"/>
      <c r="O11" s="28"/>
      <c r="P11" s="9" t="s">
        <v>59</v>
      </c>
      <c r="Q11" s="27"/>
      <c r="R11" s="25"/>
      <c r="S11" s="28"/>
      <c r="T11" s="8"/>
      <c r="U11" s="9"/>
      <c r="V11" s="26"/>
      <c r="W11" s="10">
        <v>0</v>
      </c>
      <c r="X11" s="9" t="s">
        <v>70</v>
      </c>
      <c r="Y11" s="9"/>
      <c r="Z11" s="9" t="s">
        <v>81</v>
      </c>
      <c r="AA11" s="9" t="s">
        <v>82</v>
      </c>
      <c r="AB11" s="8">
        <v>44804</v>
      </c>
      <c r="AC11" s="9"/>
      <c r="AD11" s="9" t="s">
        <v>83</v>
      </c>
      <c r="AE11" s="26"/>
      <c r="AF11" s="26"/>
      <c r="AG11" s="9"/>
      <c r="AH11" s="26"/>
      <c r="AI11" s="9"/>
      <c r="AJ11" s="9"/>
      <c r="AK11" s="26"/>
      <c r="AL11" s="8"/>
      <c r="AM11" s="8"/>
      <c r="AN11" s="9"/>
      <c r="AO11" s="26"/>
      <c r="AP11" s="9"/>
      <c r="AQ11" s="26"/>
      <c r="AR11" s="26"/>
      <c r="AS11" s="8">
        <v>44804</v>
      </c>
      <c r="AT11" s="26"/>
      <c r="AU11" s="9"/>
      <c r="AV1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/>
  </sheetViews>
  <sheetFormatPr defaultColWidth="9" defaultRowHeight="14.25"/>
  <cols>
    <col min="2" max="7" width="22" customWidth="1"/>
  </cols>
  <sheetData>
    <row r="1" spans="1:7" ht="15">
      <c r="A1" s="2" t="s">
        <v>84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</row>
    <row r="2" spans="1:7">
      <c r="A2" s="3">
        <v>1</v>
      </c>
      <c r="B2" s="4">
        <f>'1 сделка'!$F$3</f>
        <v>3646037.89</v>
      </c>
      <c r="C2" s="4">
        <f>SUM('1 сделка'!F19:F352)</f>
        <v>5065848.1081255842</v>
      </c>
      <c r="D2" s="4">
        <f>SUM('1 сделка'!G19:G352)</f>
        <v>8696465.5479716528</v>
      </c>
      <c r="E2" s="4">
        <f>'1 сделка'!K353</f>
        <v>2056999.4971249553</v>
      </c>
      <c r="F2" s="4">
        <f>'1 сделка'!M353</f>
        <v>1892477.0845143073</v>
      </c>
      <c r="G2" s="4">
        <f>'1 сделка'!N353</f>
        <v>-164522.41261064797</v>
      </c>
    </row>
    <row r="3" spans="1:7">
      <c r="A3" s="3">
        <v>16</v>
      </c>
      <c r="B3" s="4" t="e">
        <f>#REF!</f>
        <v>#REF!</v>
      </c>
      <c r="C3" s="4" t="e">
        <f>SUM(#REF!)</f>
        <v>#REF!</v>
      </c>
      <c r="D3" s="4" t="e">
        <f>SUM(#REF!)</f>
        <v>#REF!</v>
      </c>
      <c r="E3" s="4" t="e">
        <f>#REF!</f>
        <v>#REF!</v>
      </c>
      <c r="F3" s="4" t="e">
        <f>#REF!</f>
        <v>#REF!</v>
      </c>
      <c r="G3" s="4" t="e">
        <f>#REF!</f>
        <v>#REF!</v>
      </c>
    </row>
    <row r="4" spans="1:7">
      <c r="A4" s="3">
        <v>29</v>
      </c>
      <c r="B4" s="4" t="e">
        <f>#REF!</f>
        <v>#REF!</v>
      </c>
      <c r="C4" s="4" t="e">
        <f>SUM(#REF!)</f>
        <v>#REF!</v>
      </c>
      <c r="D4" s="4" t="e">
        <f>SUM(#REF!)</f>
        <v>#REF!</v>
      </c>
      <c r="E4" s="4" t="e">
        <f>#REF!</f>
        <v>#REF!</v>
      </c>
      <c r="F4" s="4" t="e">
        <f>#REF!</f>
        <v>#REF!</v>
      </c>
      <c r="G4" s="4" t="e">
        <f>#REF!</f>
        <v>#REF!</v>
      </c>
    </row>
    <row r="5" spans="1:7">
      <c r="A5" s="3">
        <v>33</v>
      </c>
      <c r="B5" s="4" t="e">
        <f>#REF!</f>
        <v>#REF!</v>
      </c>
      <c r="C5" s="4" t="e">
        <f>SUM(#REF!)</f>
        <v>#REF!</v>
      </c>
      <c r="D5" s="4" t="e">
        <f>SUM(#REF!)</f>
        <v>#REF!</v>
      </c>
      <c r="E5" s="4" t="e">
        <f>#REF!</f>
        <v>#REF!</v>
      </c>
      <c r="F5" s="4" t="e">
        <f>#REF!</f>
        <v>#REF!</v>
      </c>
      <c r="G5" s="4" t="e">
        <f>#REF!</f>
        <v>#REF!</v>
      </c>
    </row>
    <row r="6" spans="1:7">
      <c r="A6" s="3">
        <v>44</v>
      </c>
      <c r="B6" s="4" t="e">
        <f>#REF!</f>
        <v>#REF!</v>
      </c>
      <c r="C6" s="4" t="e">
        <f>SUM(#REF!)</f>
        <v>#REF!</v>
      </c>
      <c r="D6" s="4" t="e">
        <f>SUM(#REF!)</f>
        <v>#REF!</v>
      </c>
      <c r="E6" s="4" t="e">
        <f>#REF!</f>
        <v>#REF!</v>
      </c>
      <c r="F6" s="4" t="e">
        <f>#REF!</f>
        <v>#REF!</v>
      </c>
      <c r="G6" s="4" t="e">
        <f>#REF!</f>
        <v>#REF!</v>
      </c>
    </row>
    <row r="7" spans="1:7">
      <c r="A7" s="3" t="s">
        <v>91</v>
      </c>
      <c r="B7" s="4" t="e">
        <f t="shared" ref="B7:G7" si="0">SUM(B2:B6)</f>
        <v>#REF!</v>
      </c>
      <c r="C7" s="4" t="e">
        <f t="shared" si="0"/>
        <v>#REF!</v>
      </c>
      <c r="D7" s="4" t="e">
        <f t="shared" si="0"/>
        <v>#REF!</v>
      </c>
      <c r="E7" s="4" t="e">
        <f t="shared" si="0"/>
        <v>#REF!</v>
      </c>
      <c r="F7" s="4" t="e">
        <f t="shared" si="0"/>
        <v>#REF!</v>
      </c>
      <c r="G7" s="4" t="e">
        <f t="shared" si="0"/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27"/>
  <sheetViews>
    <sheetView workbookViewId="0">
      <pane ySplit="6" topLeftCell="A7" activePane="bottomLeft" state="frozen"/>
      <selection pane="bottomLeft"/>
    </sheetView>
  </sheetViews>
  <sheetFormatPr defaultColWidth="9" defaultRowHeight="14.25"/>
  <cols>
    <col min="1" max="1" width="18" customWidth="1"/>
    <col min="2" max="2" width="20" customWidth="1"/>
  </cols>
  <sheetData>
    <row r="1" spans="1:2">
      <c r="A1" t="s">
        <v>92</v>
      </c>
    </row>
    <row r="2" spans="1:2">
      <c r="A2" t="s">
        <v>93</v>
      </c>
    </row>
    <row r="3" spans="1:2">
      <c r="A3" t="s">
        <v>94</v>
      </c>
    </row>
    <row r="6" spans="1:2" ht="15">
      <c r="A6" s="1" t="s">
        <v>95</v>
      </c>
      <c r="B6" s="1" t="s">
        <v>96</v>
      </c>
    </row>
    <row r="7" spans="1:2">
      <c r="A7" s="32">
        <v>43833</v>
      </c>
      <c r="B7" s="33">
        <v>6.25E-2</v>
      </c>
    </row>
    <row r="8" spans="1:2">
      <c r="A8" s="32">
        <v>43836</v>
      </c>
      <c r="B8" s="33">
        <v>6.25E-2</v>
      </c>
    </row>
    <row r="9" spans="1:2">
      <c r="A9" s="32">
        <v>43838</v>
      </c>
      <c r="B9" s="33">
        <v>6.25E-2</v>
      </c>
    </row>
    <row r="10" spans="1:2">
      <c r="A10" s="32">
        <v>43839</v>
      </c>
      <c r="B10" s="33">
        <v>6.25E-2</v>
      </c>
    </row>
    <row r="11" spans="1:2">
      <c r="A11" s="32">
        <v>43840</v>
      </c>
      <c r="B11" s="33">
        <v>6.25E-2</v>
      </c>
    </row>
    <row r="12" spans="1:2">
      <c r="A12" s="32">
        <v>43843</v>
      </c>
      <c r="B12" s="33">
        <v>6.25E-2</v>
      </c>
    </row>
    <row r="13" spans="1:2">
      <c r="A13" s="32">
        <v>43844</v>
      </c>
      <c r="B13" s="33">
        <v>6.25E-2</v>
      </c>
    </row>
    <row r="14" spans="1:2">
      <c r="A14" s="32">
        <v>43845</v>
      </c>
      <c r="B14" s="33">
        <v>6.25E-2</v>
      </c>
    </row>
    <row r="15" spans="1:2">
      <c r="A15" s="32">
        <v>43846</v>
      </c>
      <c r="B15" s="33">
        <v>6.25E-2</v>
      </c>
    </row>
    <row r="16" spans="1:2">
      <c r="A16" s="32">
        <v>43847</v>
      </c>
      <c r="B16" s="33">
        <v>6.25E-2</v>
      </c>
    </row>
    <row r="17" spans="1:2">
      <c r="A17" s="32">
        <v>43850</v>
      </c>
      <c r="B17" s="33">
        <v>6.25E-2</v>
      </c>
    </row>
    <row r="18" spans="1:2">
      <c r="A18" s="32">
        <v>43851</v>
      </c>
      <c r="B18" s="33">
        <v>6.25E-2</v>
      </c>
    </row>
    <row r="19" spans="1:2">
      <c r="A19" s="32">
        <v>43852</v>
      </c>
      <c r="B19" s="33">
        <v>6.25E-2</v>
      </c>
    </row>
    <row r="20" spans="1:2">
      <c r="A20" s="32">
        <v>43853</v>
      </c>
      <c r="B20" s="33">
        <v>6.25E-2</v>
      </c>
    </row>
    <row r="21" spans="1:2">
      <c r="A21" s="32">
        <v>43854</v>
      </c>
      <c r="B21" s="33">
        <v>6.25E-2</v>
      </c>
    </row>
    <row r="22" spans="1:2">
      <c r="A22" s="32">
        <v>43857</v>
      </c>
      <c r="B22" s="33">
        <v>6.25E-2</v>
      </c>
    </row>
    <row r="23" spans="1:2">
      <c r="A23" s="32">
        <v>43858</v>
      </c>
      <c r="B23" s="33">
        <v>6.25E-2</v>
      </c>
    </row>
    <row r="24" spans="1:2">
      <c r="A24" s="32">
        <v>43859</v>
      </c>
      <c r="B24" s="33">
        <v>6.25E-2</v>
      </c>
    </row>
    <row r="25" spans="1:2">
      <c r="A25" s="32">
        <v>43860</v>
      </c>
      <c r="B25" s="33">
        <v>6.25E-2</v>
      </c>
    </row>
    <row r="26" spans="1:2">
      <c r="A26" s="32">
        <v>43861</v>
      </c>
      <c r="B26" s="33">
        <v>6.25E-2</v>
      </c>
    </row>
    <row r="27" spans="1:2">
      <c r="A27" s="32">
        <v>43864</v>
      </c>
      <c r="B27" s="33">
        <v>6.25E-2</v>
      </c>
    </row>
    <row r="28" spans="1:2">
      <c r="A28" s="32">
        <v>43865</v>
      </c>
      <c r="B28" s="33">
        <v>6.25E-2</v>
      </c>
    </row>
    <row r="29" spans="1:2">
      <c r="A29" s="32">
        <v>43866</v>
      </c>
      <c r="B29" s="33">
        <v>6.25E-2</v>
      </c>
    </row>
    <row r="30" spans="1:2">
      <c r="A30" s="32">
        <v>43867</v>
      </c>
      <c r="B30" s="33">
        <v>6.25E-2</v>
      </c>
    </row>
    <row r="31" spans="1:2">
      <c r="A31" s="32">
        <v>43868</v>
      </c>
      <c r="B31" s="33">
        <v>6.25E-2</v>
      </c>
    </row>
    <row r="32" spans="1:2">
      <c r="A32" s="32">
        <v>43871</v>
      </c>
      <c r="B32" s="33">
        <v>0.06</v>
      </c>
    </row>
    <row r="33" spans="1:2">
      <c r="A33" s="32">
        <v>43872</v>
      </c>
      <c r="B33" s="33">
        <v>0.06</v>
      </c>
    </row>
    <row r="34" spans="1:2">
      <c r="A34" s="32">
        <v>43873</v>
      </c>
      <c r="B34" s="33">
        <v>0.06</v>
      </c>
    </row>
    <row r="35" spans="1:2">
      <c r="A35" s="32">
        <v>43874</v>
      </c>
      <c r="B35" s="33">
        <v>0.06</v>
      </c>
    </row>
    <row r="36" spans="1:2">
      <c r="A36" s="32">
        <v>43875</v>
      </c>
      <c r="B36" s="33">
        <v>0.06</v>
      </c>
    </row>
    <row r="37" spans="1:2">
      <c r="A37" s="32">
        <v>43878</v>
      </c>
      <c r="B37" s="33">
        <v>0.06</v>
      </c>
    </row>
    <row r="38" spans="1:2">
      <c r="A38" s="32">
        <v>43879</v>
      </c>
      <c r="B38" s="33">
        <v>0.06</v>
      </c>
    </row>
    <row r="39" spans="1:2">
      <c r="A39" s="32">
        <v>43880</v>
      </c>
      <c r="B39" s="33">
        <v>0.06</v>
      </c>
    </row>
    <row r="40" spans="1:2">
      <c r="A40" s="32">
        <v>43881</v>
      </c>
      <c r="B40" s="33">
        <v>0.06</v>
      </c>
    </row>
    <row r="41" spans="1:2">
      <c r="A41" s="32">
        <v>43882</v>
      </c>
      <c r="B41" s="33">
        <v>0.06</v>
      </c>
    </row>
    <row r="42" spans="1:2">
      <c r="A42" s="32">
        <v>43886</v>
      </c>
      <c r="B42" s="33">
        <v>0.06</v>
      </c>
    </row>
    <row r="43" spans="1:2">
      <c r="A43" s="32">
        <v>43887</v>
      </c>
      <c r="B43" s="33">
        <v>0.06</v>
      </c>
    </row>
    <row r="44" spans="1:2">
      <c r="A44" s="32">
        <v>43888</v>
      </c>
      <c r="B44" s="33">
        <v>0.06</v>
      </c>
    </row>
    <row r="45" spans="1:2">
      <c r="A45" s="32">
        <v>43889</v>
      </c>
      <c r="B45" s="33">
        <v>0.06</v>
      </c>
    </row>
    <row r="46" spans="1:2">
      <c r="A46" s="32">
        <v>43892</v>
      </c>
      <c r="B46" s="33">
        <v>0.06</v>
      </c>
    </row>
    <row r="47" spans="1:2">
      <c r="A47" s="32">
        <v>43893</v>
      </c>
      <c r="B47" s="33">
        <v>0.06</v>
      </c>
    </row>
    <row r="48" spans="1:2">
      <c r="A48" s="32">
        <v>43894</v>
      </c>
      <c r="B48" s="33">
        <v>0.06</v>
      </c>
    </row>
    <row r="49" spans="1:2">
      <c r="A49" s="32">
        <v>43895</v>
      </c>
      <c r="B49" s="33">
        <v>0.06</v>
      </c>
    </row>
    <row r="50" spans="1:2">
      <c r="A50" s="32">
        <v>43896</v>
      </c>
      <c r="B50" s="33">
        <v>0.06</v>
      </c>
    </row>
    <row r="51" spans="1:2">
      <c r="A51" s="32">
        <v>43900</v>
      </c>
      <c r="B51" s="33">
        <v>0.06</v>
      </c>
    </row>
    <row r="52" spans="1:2">
      <c r="A52" s="32">
        <v>43901</v>
      </c>
      <c r="B52" s="33">
        <v>0.06</v>
      </c>
    </row>
    <row r="53" spans="1:2">
      <c r="A53" s="32">
        <v>43902</v>
      </c>
      <c r="B53" s="33">
        <v>0.06</v>
      </c>
    </row>
    <row r="54" spans="1:2">
      <c r="A54" s="32">
        <v>43903</v>
      </c>
      <c r="B54" s="33">
        <v>0.06</v>
      </c>
    </row>
    <row r="55" spans="1:2">
      <c r="A55" s="32">
        <v>43906</v>
      </c>
      <c r="B55" s="33">
        <v>0.06</v>
      </c>
    </row>
    <row r="56" spans="1:2">
      <c r="A56" s="32">
        <v>43907</v>
      </c>
      <c r="B56" s="33">
        <v>0.06</v>
      </c>
    </row>
    <row r="57" spans="1:2">
      <c r="A57" s="32">
        <v>43908</v>
      </c>
      <c r="B57" s="33">
        <v>0.06</v>
      </c>
    </row>
    <row r="58" spans="1:2">
      <c r="A58" s="32">
        <v>43909</v>
      </c>
      <c r="B58" s="33">
        <v>0.06</v>
      </c>
    </row>
    <row r="59" spans="1:2">
      <c r="A59" s="32">
        <v>43910</v>
      </c>
      <c r="B59" s="33">
        <v>0.06</v>
      </c>
    </row>
    <row r="60" spans="1:2">
      <c r="A60" s="32">
        <v>43913</v>
      </c>
      <c r="B60" s="33">
        <v>0.06</v>
      </c>
    </row>
    <row r="61" spans="1:2">
      <c r="A61" s="32">
        <v>43914</v>
      </c>
      <c r="B61" s="33">
        <v>0.06</v>
      </c>
    </row>
    <row r="62" spans="1:2">
      <c r="A62" s="32">
        <v>43915</v>
      </c>
      <c r="B62" s="33">
        <v>0.06</v>
      </c>
    </row>
    <row r="63" spans="1:2">
      <c r="A63" s="32">
        <v>43916</v>
      </c>
      <c r="B63" s="33">
        <v>0.06</v>
      </c>
    </row>
    <row r="64" spans="1:2">
      <c r="A64" s="32">
        <v>43917</v>
      </c>
      <c r="B64" s="33">
        <v>0.06</v>
      </c>
    </row>
    <row r="65" spans="1:2">
      <c r="A65" s="32">
        <v>43920</v>
      </c>
      <c r="B65" s="33">
        <v>0.06</v>
      </c>
    </row>
    <row r="66" spans="1:2">
      <c r="A66" s="32">
        <v>43921</v>
      </c>
      <c r="B66" s="33">
        <v>0.06</v>
      </c>
    </row>
    <row r="67" spans="1:2">
      <c r="A67" s="32">
        <v>43922</v>
      </c>
      <c r="B67" s="33">
        <v>0.06</v>
      </c>
    </row>
    <row r="68" spans="1:2">
      <c r="A68" s="32">
        <v>43923</v>
      </c>
      <c r="B68" s="33">
        <v>0.06</v>
      </c>
    </row>
    <row r="69" spans="1:2">
      <c r="A69" s="32">
        <v>43924</v>
      </c>
      <c r="B69" s="33">
        <v>0.06</v>
      </c>
    </row>
    <row r="70" spans="1:2">
      <c r="A70" s="32">
        <v>43927</v>
      </c>
      <c r="B70" s="33">
        <v>0.06</v>
      </c>
    </row>
    <row r="71" spans="1:2">
      <c r="A71" s="32">
        <v>43928</v>
      </c>
      <c r="B71" s="33">
        <v>0.06</v>
      </c>
    </row>
    <row r="72" spans="1:2">
      <c r="A72" s="32">
        <v>43929</v>
      </c>
      <c r="B72" s="33">
        <v>0.06</v>
      </c>
    </row>
    <row r="73" spans="1:2">
      <c r="A73" s="32">
        <v>43930</v>
      </c>
      <c r="B73" s="33">
        <v>0.06</v>
      </c>
    </row>
    <row r="74" spans="1:2">
      <c r="A74" s="32">
        <v>43931</v>
      </c>
      <c r="B74" s="33">
        <v>0.06</v>
      </c>
    </row>
    <row r="75" spans="1:2">
      <c r="A75" s="32">
        <v>43934</v>
      </c>
      <c r="B75" s="33">
        <v>0.06</v>
      </c>
    </row>
    <row r="76" spans="1:2">
      <c r="A76" s="32">
        <v>43935</v>
      </c>
      <c r="B76" s="33">
        <v>0.06</v>
      </c>
    </row>
    <row r="77" spans="1:2">
      <c r="A77" s="32">
        <v>43936</v>
      </c>
      <c r="B77" s="33">
        <v>0.06</v>
      </c>
    </row>
    <row r="78" spans="1:2">
      <c r="A78" s="32">
        <v>43937</v>
      </c>
      <c r="B78" s="33">
        <v>0.06</v>
      </c>
    </row>
    <row r="79" spans="1:2">
      <c r="A79" s="32">
        <v>43938</v>
      </c>
      <c r="B79" s="33">
        <v>0.06</v>
      </c>
    </row>
    <row r="80" spans="1:2">
      <c r="A80" s="32">
        <v>43941</v>
      </c>
      <c r="B80" s="33">
        <v>0.06</v>
      </c>
    </row>
    <row r="81" spans="1:2">
      <c r="A81" s="32">
        <v>43942</v>
      </c>
      <c r="B81" s="33">
        <v>0.06</v>
      </c>
    </row>
    <row r="82" spans="1:2">
      <c r="A82" s="32">
        <v>43943</v>
      </c>
      <c r="B82" s="33">
        <v>0.06</v>
      </c>
    </row>
    <row r="83" spans="1:2">
      <c r="A83" s="32">
        <v>43944</v>
      </c>
      <c r="B83" s="33">
        <v>0.06</v>
      </c>
    </row>
    <row r="84" spans="1:2">
      <c r="A84" s="32">
        <v>43945</v>
      </c>
      <c r="B84" s="33">
        <v>0.06</v>
      </c>
    </row>
    <row r="85" spans="1:2">
      <c r="A85" s="32">
        <v>43948</v>
      </c>
      <c r="B85" s="33">
        <v>5.5E-2</v>
      </c>
    </row>
    <row r="86" spans="1:2">
      <c r="A86" s="32">
        <v>43949</v>
      </c>
      <c r="B86" s="33">
        <v>5.5E-2</v>
      </c>
    </row>
    <row r="87" spans="1:2">
      <c r="A87" s="32">
        <v>43950</v>
      </c>
      <c r="B87" s="33">
        <v>5.5E-2</v>
      </c>
    </row>
    <row r="88" spans="1:2">
      <c r="A88" s="32">
        <v>43951</v>
      </c>
      <c r="B88" s="33">
        <v>5.5E-2</v>
      </c>
    </row>
    <row r="89" spans="1:2">
      <c r="A89" s="32">
        <v>43955</v>
      </c>
      <c r="B89" s="33">
        <v>5.5E-2</v>
      </c>
    </row>
    <row r="90" spans="1:2">
      <c r="A90" s="32">
        <v>43956</v>
      </c>
      <c r="B90" s="33">
        <v>5.5E-2</v>
      </c>
    </row>
    <row r="91" spans="1:2">
      <c r="A91" s="32">
        <v>43957</v>
      </c>
      <c r="B91" s="33">
        <v>5.5E-2</v>
      </c>
    </row>
    <row r="92" spans="1:2">
      <c r="A92" s="32">
        <v>43958</v>
      </c>
      <c r="B92" s="33">
        <v>5.5E-2</v>
      </c>
    </row>
    <row r="93" spans="1:2">
      <c r="A93" s="32">
        <v>43959</v>
      </c>
      <c r="B93" s="33">
        <v>5.5E-2</v>
      </c>
    </row>
    <row r="94" spans="1:2">
      <c r="A94" s="32">
        <v>43963</v>
      </c>
      <c r="B94" s="33">
        <v>5.5E-2</v>
      </c>
    </row>
    <row r="95" spans="1:2">
      <c r="A95" s="32">
        <v>43964</v>
      </c>
      <c r="B95" s="33">
        <v>5.5E-2</v>
      </c>
    </row>
    <row r="96" spans="1:2">
      <c r="A96" s="32">
        <v>43965</v>
      </c>
      <c r="B96" s="33">
        <v>5.5E-2</v>
      </c>
    </row>
    <row r="97" spans="1:2">
      <c r="A97" s="32">
        <v>43966</v>
      </c>
      <c r="B97" s="33">
        <v>5.5E-2</v>
      </c>
    </row>
    <row r="98" spans="1:2">
      <c r="A98" s="32">
        <v>43969</v>
      </c>
      <c r="B98" s="33">
        <v>5.5E-2</v>
      </c>
    </row>
    <row r="99" spans="1:2">
      <c r="A99" s="32">
        <v>43970</v>
      </c>
      <c r="B99" s="33">
        <v>5.5E-2</v>
      </c>
    </row>
    <row r="100" spans="1:2">
      <c r="A100" s="32">
        <v>43971</v>
      </c>
      <c r="B100" s="33">
        <v>5.5E-2</v>
      </c>
    </row>
    <row r="101" spans="1:2">
      <c r="A101" s="32">
        <v>43972</v>
      </c>
      <c r="B101" s="33">
        <v>5.5E-2</v>
      </c>
    </row>
    <row r="102" spans="1:2">
      <c r="A102" s="32">
        <v>43973</v>
      </c>
      <c r="B102" s="33">
        <v>5.5E-2</v>
      </c>
    </row>
    <row r="103" spans="1:2">
      <c r="A103" s="32">
        <v>43976</v>
      </c>
      <c r="B103" s="33">
        <v>5.5E-2</v>
      </c>
    </row>
    <row r="104" spans="1:2">
      <c r="A104" s="32">
        <v>43977</v>
      </c>
      <c r="B104" s="33">
        <v>5.5E-2</v>
      </c>
    </row>
    <row r="105" spans="1:2">
      <c r="A105" s="32">
        <v>43978</v>
      </c>
      <c r="B105" s="33">
        <v>5.5E-2</v>
      </c>
    </row>
    <row r="106" spans="1:2">
      <c r="A106" s="32">
        <v>43979</v>
      </c>
      <c r="B106" s="33">
        <v>5.5E-2</v>
      </c>
    </row>
    <row r="107" spans="1:2">
      <c r="A107" s="32">
        <v>43980</v>
      </c>
      <c r="B107" s="33">
        <v>5.5E-2</v>
      </c>
    </row>
    <row r="108" spans="1:2">
      <c r="A108" s="32">
        <v>43983</v>
      </c>
      <c r="B108" s="33">
        <v>5.5E-2</v>
      </c>
    </row>
    <row r="109" spans="1:2">
      <c r="A109" s="32">
        <v>43984</v>
      </c>
      <c r="B109" s="33">
        <v>5.5E-2</v>
      </c>
    </row>
    <row r="110" spans="1:2">
      <c r="A110" s="32">
        <v>43985</v>
      </c>
      <c r="B110" s="33">
        <v>5.5E-2</v>
      </c>
    </row>
    <row r="111" spans="1:2">
      <c r="A111" s="32">
        <v>43986</v>
      </c>
      <c r="B111" s="33">
        <v>5.5E-2</v>
      </c>
    </row>
    <row r="112" spans="1:2">
      <c r="A112" s="32">
        <v>43987</v>
      </c>
      <c r="B112" s="33">
        <v>5.5E-2</v>
      </c>
    </row>
    <row r="113" spans="1:2">
      <c r="A113" s="32">
        <v>43990</v>
      </c>
      <c r="B113" s="33">
        <v>5.5E-2</v>
      </c>
    </row>
    <row r="114" spans="1:2">
      <c r="A114" s="32">
        <v>43991</v>
      </c>
      <c r="B114" s="33">
        <v>5.5E-2</v>
      </c>
    </row>
    <row r="115" spans="1:2">
      <c r="A115" s="32">
        <v>43992</v>
      </c>
      <c r="B115" s="33">
        <v>5.5E-2</v>
      </c>
    </row>
    <row r="116" spans="1:2">
      <c r="A116" s="32">
        <v>43993</v>
      </c>
      <c r="B116" s="33">
        <v>5.5E-2</v>
      </c>
    </row>
    <row r="117" spans="1:2">
      <c r="A117" s="32">
        <v>43997</v>
      </c>
      <c r="B117" s="33">
        <v>5.5E-2</v>
      </c>
    </row>
    <row r="118" spans="1:2">
      <c r="A118" s="32">
        <v>43998</v>
      </c>
      <c r="B118" s="33">
        <v>5.5E-2</v>
      </c>
    </row>
    <row r="119" spans="1:2">
      <c r="A119" s="32">
        <v>43999</v>
      </c>
      <c r="B119" s="33">
        <v>5.5E-2</v>
      </c>
    </row>
    <row r="120" spans="1:2">
      <c r="A120" s="32">
        <v>44000</v>
      </c>
      <c r="B120" s="33">
        <v>5.5E-2</v>
      </c>
    </row>
    <row r="121" spans="1:2">
      <c r="A121" s="32">
        <v>44001</v>
      </c>
      <c r="B121" s="33">
        <v>5.5E-2</v>
      </c>
    </row>
    <row r="122" spans="1:2">
      <c r="A122" s="32">
        <v>44004</v>
      </c>
      <c r="B122" s="33">
        <v>4.4999999999999998E-2</v>
      </c>
    </row>
    <row r="123" spans="1:2">
      <c r="A123" s="32">
        <v>44005</v>
      </c>
      <c r="B123" s="33">
        <v>4.4999999999999998E-2</v>
      </c>
    </row>
    <row r="124" spans="1:2">
      <c r="A124" s="32">
        <v>44007</v>
      </c>
      <c r="B124" s="33">
        <v>4.4999999999999998E-2</v>
      </c>
    </row>
    <row r="125" spans="1:2">
      <c r="A125" s="32">
        <v>44008</v>
      </c>
      <c r="B125" s="33">
        <v>4.4999999999999998E-2</v>
      </c>
    </row>
    <row r="126" spans="1:2">
      <c r="A126" s="32">
        <v>44011</v>
      </c>
      <c r="B126" s="33">
        <v>4.4999999999999998E-2</v>
      </c>
    </row>
    <row r="127" spans="1:2">
      <c r="A127" s="32">
        <v>44012</v>
      </c>
      <c r="B127" s="33">
        <v>4.4999999999999998E-2</v>
      </c>
    </row>
    <row r="128" spans="1:2">
      <c r="A128" s="32">
        <v>44014</v>
      </c>
      <c r="B128" s="33">
        <v>4.4999999999999998E-2</v>
      </c>
    </row>
    <row r="129" spans="1:2">
      <c r="A129" s="32">
        <v>44015</v>
      </c>
      <c r="B129" s="33">
        <v>4.4999999999999998E-2</v>
      </c>
    </row>
    <row r="130" spans="1:2">
      <c r="A130" s="32">
        <v>44018</v>
      </c>
      <c r="B130" s="33">
        <v>4.4999999999999998E-2</v>
      </c>
    </row>
    <row r="131" spans="1:2">
      <c r="A131" s="32">
        <v>44019</v>
      </c>
      <c r="B131" s="33">
        <v>4.4999999999999998E-2</v>
      </c>
    </row>
    <row r="132" spans="1:2">
      <c r="A132" s="32">
        <v>44020</v>
      </c>
      <c r="B132" s="33">
        <v>4.4999999999999998E-2</v>
      </c>
    </row>
    <row r="133" spans="1:2">
      <c r="A133" s="32">
        <v>44021</v>
      </c>
      <c r="B133" s="33">
        <v>4.4999999999999998E-2</v>
      </c>
    </row>
    <row r="134" spans="1:2">
      <c r="A134" s="32">
        <v>44022</v>
      </c>
      <c r="B134" s="33">
        <v>4.4999999999999998E-2</v>
      </c>
    </row>
    <row r="135" spans="1:2">
      <c r="A135" s="32">
        <v>44025</v>
      </c>
      <c r="B135" s="33">
        <v>4.4999999999999998E-2</v>
      </c>
    </row>
    <row r="136" spans="1:2">
      <c r="A136" s="32">
        <v>44026</v>
      </c>
      <c r="B136" s="33">
        <v>4.4999999999999998E-2</v>
      </c>
    </row>
    <row r="137" spans="1:2">
      <c r="A137" s="32">
        <v>44027</v>
      </c>
      <c r="B137" s="33">
        <v>4.4999999999999998E-2</v>
      </c>
    </row>
    <row r="138" spans="1:2">
      <c r="A138" s="32">
        <v>44028</v>
      </c>
      <c r="B138" s="33">
        <v>4.4999999999999998E-2</v>
      </c>
    </row>
    <row r="139" spans="1:2">
      <c r="A139" s="32">
        <v>44029</v>
      </c>
      <c r="B139" s="33">
        <v>4.4999999999999998E-2</v>
      </c>
    </row>
    <row r="140" spans="1:2">
      <c r="A140" s="32">
        <v>44032</v>
      </c>
      <c r="B140" s="33">
        <v>4.4999999999999998E-2</v>
      </c>
    </row>
    <row r="141" spans="1:2">
      <c r="A141" s="32">
        <v>44033</v>
      </c>
      <c r="B141" s="33">
        <v>4.4999999999999998E-2</v>
      </c>
    </row>
    <row r="142" spans="1:2">
      <c r="A142" s="32">
        <v>44034</v>
      </c>
      <c r="B142" s="33">
        <v>4.4999999999999998E-2</v>
      </c>
    </row>
    <row r="143" spans="1:2">
      <c r="A143" s="32">
        <v>44035</v>
      </c>
      <c r="B143" s="33">
        <v>4.4999999999999998E-2</v>
      </c>
    </row>
    <row r="144" spans="1:2">
      <c r="A144" s="32">
        <v>44036</v>
      </c>
      <c r="B144" s="33">
        <v>4.4999999999999998E-2</v>
      </c>
    </row>
    <row r="145" spans="1:2">
      <c r="A145" s="32">
        <v>44039</v>
      </c>
      <c r="B145" s="33">
        <v>4.2500000000000003E-2</v>
      </c>
    </row>
    <row r="146" spans="1:2">
      <c r="A146" s="32">
        <v>44040</v>
      </c>
      <c r="B146" s="33">
        <v>4.2500000000000003E-2</v>
      </c>
    </row>
    <row r="147" spans="1:2">
      <c r="A147" s="32">
        <v>44041</v>
      </c>
      <c r="B147" s="33">
        <v>4.2500000000000003E-2</v>
      </c>
    </row>
    <row r="148" spans="1:2">
      <c r="A148" s="32">
        <v>44042</v>
      </c>
      <c r="B148" s="33">
        <v>4.2500000000000003E-2</v>
      </c>
    </row>
    <row r="149" spans="1:2">
      <c r="A149" s="32">
        <v>44043</v>
      </c>
      <c r="B149" s="33">
        <v>4.2500000000000003E-2</v>
      </c>
    </row>
    <row r="150" spans="1:2">
      <c r="A150" s="32">
        <v>44046</v>
      </c>
      <c r="B150" s="33">
        <v>4.2500000000000003E-2</v>
      </c>
    </row>
    <row r="151" spans="1:2">
      <c r="A151" s="32">
        <v>44047</v>
      </c>
      <c r="B151" s="33">
        <v>4.2500000000000003E-2</v>
      </c>
    </row>
    <row r="152" spans="1:2">
      <c r="A152" s="32">
        <v>44048</v>
      </c>
      <c r="B152" s="33">
        <v>4.2500000000000003E-2</v>
      </c>
    </row>
    <row r="153" spans="1:2">
      <c r="A153" s="32">
        <v>44049</v>
      </c>
      <c r="B153" s="33">
        <v>4.2500000000000003E-2</v>
      </c>
    </row>
    <row r="154" spans="1:2">
      <c r="A154" s="32">
        <v>44050</v>
      </c>
      <c r="B154" s="33">
        <v>4.2500000000000003E-2</v>
      </c>
    </row>
    <row r="155" spans="1:2">
      <c r="A155" s="32">
        <v>44053</v>
      </c>
      <c r="B155" s="33">
        <v>4.2500000000000003E-2</v>
      </c>
    </row>
    <row r="156" spans="1:2">
      <c r="A156" s="32">
        <v>44054</v>
      </c>
      <c r="B156" s="33">
        <v>4.2500000000000003E-2</v>
      </c>
    </row>
    <row r="157" spans="1:2">
      <c r="A157" s="32">
        <v>44055</v>
      </c>
      <c r="B157" s="33">
        <v>4.2500000000000003E-2</v>
      </c>
    </row>
    <row r="158" spans="1:2">
      <c r="A158" s="32">
        <v>44056</v>
      </c>
      <c r="B158" s="33">
        <v>4.2500000000000003E-2</v>
      </c>
    </row>
    <row r="159" spans="1:2">
      <c r="A159" s="32">
        <v>44057</v>
      </c>
      <c r="B159" s="33">
        <v>4.2500000000000003E-2</v>
      </c>
    </row>
    <row r="160" spans="1:2">
      <c r="A160" s="32">
        <v>44060</v>
      </c>
      <c r="B160" s="33">
        <v>4.2500000000000003E-2</v>
      </c>
    </row>
    <row r="161" spans="1:2">
      <c r="A161" s="32">
        <v>44061</v>
      </c>
      <c r="B161" s="33">
        <v>4.2500000000000003E-2</v>
      </c>
    </row>
    <row r="162" spans="1:2">
      <c r="A162" s="32">
        <v>44062</v>
      </c>
      <c r="B162" s="33">
        <v>4.2500000000000003E-2</v>
      </c>
    </row>
    <row r="163" spans="1:2">
      <c r="A163" s="32">
        <v>44063</v>
      </c>
      <c r="B163" s="33">
        <v>4.2500000000000003E-2</v>
      </c>
    </row>
    <row r="164" spans="1:2">
      <c r="A164" s="32">
        <v>44064</v>
      </c>
      <c r="B164" s="33">
        <v>4.2500000000000003E-2</v>
      </c>
    </row>
    <row r="165" spans="1:2">
      <c r="A165" s="32">
        <v>44067</v>
      </c>
      <c r="B165" s="33">
        <v>4.2500000000000003E-2</v>
      </c>
    </row>
    <row r="166" spans="1:2">
      <c r="A166" s="32">
        <v>44068</v>
      </c>
      <c r="B166" s="33">
        <v>4.2500000000000003E-2</v>
      </c>
    </row>
    <row r="167" spans="1:2">
      <c r="A167" s="32">
        <v>44069</v>
      </c>
      <c r="B167" s="33">
        <v>4.2500000000000003E-2</v>
      </c>
    </row>
    <row r="168" spans="1:2">
      <c r="A168" s="32">
        <v>44070</v>
      </c>
      <c r="B168" s="33">
        <v>4.2500000000000003E-2</v>
      </c>
    </row>
    <row r="169" spans="1:2">
      <c r="A169" s="32">
        <v>44071</v>
      </c>
      <c r="B169" s="33">
        <v>4.2500000000000003E-2</v>
      </c>
    </row>
    <row r="170" spans="1:2">
      <c r="A170" s="32">
        <v>44074</v>
      </c>
      <c r="B170" s="33">
        <v>4.2500000000000003E-2</v>
      </c>
    </row>
    <row r="171" spans="1:2">
      <c r="A171" s="32">
        <v>44075</v>
      </c>
      <c r="B171" s="33">
        <v>4.2500000000000003E-2</v>
      </c>
    </row>
    <row r="172" spans="1:2">
      <c r="A172" s="32">
        <v>44076</v>
      </c>
      <c r="B172" s="33">
        <v>4.2500000000000003E-2</v>
      </c>
    </row>
    <row r="173" spans="1:2">
      <c r="A173" s="32">
        <v>44077</v>
      </c>
      <c r="B173" s="33">
        <v>4.2500000000000003E-2</v>
      </c>
    </row>
    <row r="174" spans="1:2">
      <c r="A174" s="32">
        <v>44078</v>
      </c>
      <c r="B174" s="33">
        <v>4.2500000000000003E-2</v>
      </c>
    </row>
    <row r="175" spans="1:2">
      <c r="A175" s="32">
        <v>44081</v>
      </c>
      <c r="B175" s="33">
        <v>4.2500000000000003E-2</v>
      </c>
    </row>
    <row r="176" spans="1:2">
      <c r="A176" s="32">
        <v>44082</v>
      </c>
      <c r="B176" s="33">
        <v>4.2500000000000003E-2</v>
      </c>
    </row>
    <row r="177" spans="1:2">
      <c r="A177" s="32">
        <v>44083</v>
      </c>
      <c r="B177" s="33">
        <v>4.2500000000000003E-2</v>
      </c>
    </row>
    <row r="178" spans="1:2">
      <c r="A178" s="32">
        <v>44084</v>
      </c>
      <c r="B178" s="33">
        <v>4.2500000000000003E-2</v>
      </c>
    </row>
    <row r="179" spans="1:2">
      <c r="A179" s="32">
        <v>44085</v>
      </c>
      <c r="B179" s="33">
        <v>4.2500000000000003E-2</v>
      </c>
    </row>
    <row r="180" spans="1:2">
      <c r="A180" s="32">
        <v>44088</v>
      </c>
      <c r="B180" s="33">
        <v>4.2500000000000003E-2</v>
      </c>
    </row>
    <row r="181" spans="1:2">
      <c r="A181" s="32">
        <v>44089</v>
      </c>
      <c r="B181" s="33">
        <v>4.2500000000000003E-2</v>
      </c>
    </row>
    <row r="182" spans="1:2">
      <c r="A182" s="32">
        <v>44090</v>
      </c>
      <c r="B182" s="33">
        <v>4.2500000000000003E-2</v>
      </c>
    </row>
    <row r="183" spans="1:2">
      <c r="A183" s="32">
        <v>44091</v>
      </c>
      <c r="B183" s="33">
        <v>4.2500000000000003E-2</v>
      </c>
    </row>
    <row r="184" spans="1:2">
      <c r="A184" s="32">
        <v>44092</v>
      </c>
      <c r="B184" s="33">
        <v>4.2500000000000003E-2</v>
      </c>
    </row>
    <row r="185" spans="1:2">
      <c r="A185" s="32">
        <v>44095</v>
      </c>
      <c r="B185" s="33">
        <v>4.2500000000000003E-2</v>
      </c>
    </row>
    <row r="186" spans="1:2">
      <c r="A186" s="32">
        <v>44096</v>
      </c>
      <c r="B186" s="33">
        <v>4.2500000000000003E-2</v>
      </c>
    </row>
    <row r="187" spans="1:2">
      <c r="A187" s="32">
        <v>44097</v>
      </c>
      <c r="B187" s="33">
        <v>4.2500000000000003E-2</v>
      </c>
    </row>
    <row r="188" spans="1:2">
      <c r="A188" s="32">
        <v>44098</v>
      </c>
      <c r="B188" s="33">
        <v>4.2500000000000003E-2</v>
      </c>
    </row>
    <row r="189" spans="1:2">
      <c r="A189" s="32">
        <v>44099</v>
      </c>
      <c r="B189" s="33">
        <v>4.2500000000000003E-2</v>
      </c>
    </row>
    <row r="190" spans="1:2">
      <c r="A190" s="32">
        <v>44102</v>
      </c>
      <c r="B190" s="33">
        <v>4.2500000000000003E-2</v>
      </c>
    </row>
    <row r="191" spans="1:2">
      <c r="A191" s="32">
        <v>44103</v>
      </c>
      <c r="B191" s="33">
        <v>4.2500000000000003E-2</v>
      </c>
    </row>
    <row r="192" spans="1:2">
      <c r="A192" s="32">
        <v>44104</v>
      </c>
      <c r="B192" s="33">
        <v>4.2500000000000003E-2</v>
      </c>
    </row>
    <row r="193" spans="1:2">
      <c r="A193" s="32">
        <v>44105</v>
      </c>
      <c r="B193" s="33">
        <v>4.2500000000000003E-2</v>
      </c>
    </row>
    <row r="194" spans="1:2">
      <c r="A194" s="32">
        <v>44106</v>
      </c>
      <c r="B194" s="33">
        <v>4.2500000000000003E-2</v>
      </c>
    </row>
    <row r="195" spans="1:2">
      <c r="A195" s="32">
        <v>44109</v>
      </c>
      <c r="B195" s="33">
        <v>4.2500000000000003E-2</v>
      </c>
    </row>
    <row r="196" spans="1:2">
      <c r="A196" s="32">
        <v>44110</v>
      </c>
      <c r="B196" s="33">
        <v>4.2500000000000003E-2</v>
      </c>
    </row>
    <row r="197" spans="1:2">
      <c r="A197" s="32">
        <v>44111</v>
      </c>
      <c r="B197" s="33">
        <v>4.2500000000000003E-2</v>
      </c>
    </row>
    <row r="198" spans="1:2">
      <c r="A198" s="32">
        <v>44112</v>
      </c>
      <c r="B198" s="33">
        <v>4.2500000000000003E-2</v>
      </c>
    </row>
    <row r="199" spans="1:2">
      <c r="A199" s="32">
        <v>44113</v>
      </c>
      <c r="B199" s="33">
        <v>4.2500000000000003E-2</v>
      </c>
    </row>
    <row r="200" spans="1:2">
      <c r="A200" s="32">
        <v>44116</v>
      </c>
      <c r="B200" s="33">
        <v>4.2500000000000003E-2</v>
      </c>
    </row>
    <row r="201" spans="1:2">
      <c r="A201" s="32">
        <v>44117</v>
      </c>
      <c r="B201" s="33">
        <v>4.2500000000000003E-2</v>
      </c>
    </row>
    <row r="202" spans="1:2">
      <c r="A202" s="32">
        <v>44118</v>
      </c>
      <c r="B202" s="33">
        <v>4.2500000000000003E-2</v>
      </c>
    </row>
    <row r="203" spans="1:2">
      <c r="A203" s="32">
        <v>44119</v>
      </c>
      <c r="B203" s="33">
        <v>4.2500000000000003E-2</v>
      </c>
    </row>
    <row r="204" spans="1:2">
      <c r="A204" s="32">
        <v>44120</v>
      </c>
      <c r="B204" s="33">
        <v>4.2500000000000003E-2</v>
      </c>
    </row>
    <row r="205" spans="1:2">
      <c r="A205" s="32">
        <v>44123</v>
      </c>
      <c r="B205" s="33">
        <v>4.2500000000000003E-2</v>
      </c>
    </row>
    <row r="206" spans="1:2">
      <c r="A206" s="32">
        <v>44124</v>
      </c>
      <c r="B206" s="33">
        <v>4.2500000000000003E-2</v>
      </c>
    </row>
    <row r="207" spans="1:2">
      <c r="A207" s="32">
        <v>44125</v>
      </c>
      <c r="B207" s="33">
        <v>4.2500000000000003E-2</v>
      </c>
    </row>
    <row r="208" spans="1:2">
      <c r="A208" s="32">
        <v>44126</v>
      </c>
      <c r="B208" s="33">
        <v>4.2500000000000003E-2</v>
      </c>
    </row>
    <row r="209" spans="1:2">
      <c r="A209" s="32">
        <v>44127</v>
      </c>
      <c r="B209" s="33">
        <v>4.2500000000000003E-2</v>
      </c>
    </row>
    <row r="210" spans="1:2">
      <c r="A210" s="32">
        <v>44130</v>
      </c>
      <c r="B210" s="33">
        <v>4.2500000000000003E-2</v>
      </c>
    </row>
    <row r="211" spans="1:2">
      <c r="A211" s="32">
        <v>44131</v>
      </c>
      <c r="B211" s="33">
        <v>4.2500000000000003E-2</v>
      </c>
    </row>
    <row r="212" spans="1:2">
      <c r="A212" s="32">
        <v>44132</v>
      </c>
      <c r="B212" s="33">
        <v>4.2500000000000003E-2</v>
      </c>
    </row>
    <row r="213" spans="1:2">
      <c r="A213" s="32">
        <v>44133</v>
      </c>
      <c r="B213" s="33">
        <v>4.2500000000000003E-2</v>
      </c>
    </row>
    <row r="214" spans="1:2">
      <c r="A214" s="32">
        <v>44134</v>
      </c>
      <c r="B214" s="33">
        <v>4.2500000000000003E-2</v>
      </c>
    </row>
    <row r="215" spans="1:2">
      <c r="A215" s="32">
        <v>44137</v>
      </c>
      <c r="B215" s="33">
        <v>4.2500000000000003E-2</v>
      </c>
    </row>
    <row r="216" spans="1:2">
      <c r="A216" s="32">
        <v>44138</v>
      </c>
      <c r="B216" s="33">
        <v>4.2500000000000003E-2</v>
      </c>
    </row>
    <row r="217" spans="1:2">
      <c r="A217" s="32">
        <v>44140</v>
      </c>
      <c r="B217" s="33">
        <v>4.2500000000000003E-2</v>
      </c>
    </row>
    <row r="218" spans="1:2">
      <c r="A218" s="32">
        <v>44141</v>
      </c>
      <c r="B218" s="33">
        <v>4.2500000000000003E-2</v>
      </c>
    </row>
    <row r="219" spans="1:2">
      <c r="A219" s="32">
        <v>44144</v>
      </c>
      <c r="B219" s="33">
        <v>4.2500000000000003E-2</v>
      </c>
    </row>
    <row r="220" spans="1:2">
      <c r="A220" s="32">
        <v>44145</v>
      </c>
      <c r="B220" s="33">
        <v>4.2500000000000003E-2</v>
      </c>
    </row>
    <row r="221" spans="1:2">
      <c r="A221" s="32">
        <v>44146</v>
      </c>
      <c r="B221" s="33">
        <v>4.2500000000000003E-2</v>
      </c>
    </row>
    <row r="222" spans="1:2">
      <c r="A222" s="32">
        <v>44147</v>
      </c>
      <c r="B222" s="33">
        <v>4.2500000000000003E-2</v>
      </c>
    </row>
    <row r="223" spans="1:2">
      <c r="A223" s="32">
        <v>44148</v>
      </c>
      <c r="B223" s="33">
        <v>4.2500000000000003E-2</v>
      </c>
    </row>
    <row r="224" spans="1:2">
      <c r="A224" s="32">
        <v>44151</v>
      </c>
      <c r="B224" s="33">
        <v>4.2500000000000003E-2</v>
      </c>
    </row>
    <row r="225" spans="1:2">
      <c r="A225" s="32">
        <v>44152</v>
      </c>
      <c r="B225" s="33">
        <v>4.2500000000000003E-2</v>
      </c>
    </row>
    <row r="226" spans="1:2">
      <c r="A226" s="32">
        <v>44153</v>
      </c>
      <c r="B226" s="33">
        <v>4.2500000000000003E-2</v>
      </c>
    </row>
    <row r="227" spans="1:2">
      <c r="A227" s="32">
        <v>44154</v>
      </c>
      <c r="B227" s="33">
        <v>4.2500000000000003E-2</v>
      </c>
    </row>
    <row r="228" spans="1:2">
      <c r="A228" s="32">
        <v>44155</v>
      </c>
      <c r="B228" s="33">
        <v>4.2500000000000003E-2</v>
      </c>
    </row>
    <row r="229" spans="1:2">
      <c r="A229" s="32">
        <v>44158</v>
      </c>
      <c r="B229" s="33">
        <v>4.2500000000000003E-2</v>
      </c>
    </row>
    <row r="230" spans="1:2">
      <c r="A230" s="32">
        <v>44159</v>
      </c>
      <c r="B230" s="33">
        <v>4.2500000000000003E-2</v>
      </c>
    </row>
    <row r="231" spans="1:2">
      <c r="A231" s="32">
        <v>44160</v>
      </c>
      <c r="B231" s="33">
        <v>4.2500000000000003E-2</v>
      </c>
    </row>
    <row r="232" spans="1:2">
      <c r="A232" s="32">
        <v>44161</v>
      </c>
      <c r="B232" s="33">
        <v>4.2500000000000003E-2</v>
      </c>
    </row>
    <row r="233" spans="1:2">
      <c r="A233" s="32">
        <v>44162</v>
      </c>
      <c r="B233" s="33">
        <v>4.2500000000000003E-2</v>
      </c>
    </row>
    <row r="234" spans="1:2">
      <c r="A234" s="32">
        <v>44165</v>
      </c>
      <c r="B234" s="33">
        <v>4.2500000000000003E-2</v>
      </c>
    </row>
    <row r="235" spans="1:2">
      <c r="A235" s="32">
        <v>44166</v>
      </c>
      <c r="B235" s="33">
        <v>4.2500000000000003E-2</v>
      </c>
    </row>
    <row r="236" spans="1:2">
      <c r="A236" s="32">
        <v>44167</v>
      </c>
      <c r="B236" s="33">
        <v>4.2500000000000003E-2</v>
      </c>
    </row>
    <row r="237" spans="1:2">
      <c r="A237" s="32">
        <v>44168</v>
      </c>
      <c r="B237" s="33">
        <v>4.2500000000000003E-2</v>
      </c>
    </row>
    <row r="238" spans="1:2">
      <c r="A238" s="32">
        <v>44169</v>
      </c>
      <c r="B238" s="33">
        <v>4.2500000000000003E-2</v>
      </c>
    </row>
    <row r="239" spans="1:2">
      <c r="A239" s="32">
        <v>44172</v>
      </c>
      <c r="B239" s="33">
        <v>4.2500000000000003E-2</v>
      </c>
    </row>
    <row r="240" spans="1:2">
      <c r="A240" s="32">
        <v>44173</v>
      </c>
      <c r="B240" s="33">
        <v>4.2500000000000003E-2</v>
      </c>
    </row>
    <row r="241" spans="1:2">
      <c r="A241" s="32">
        <v>44174</v>
      </c>
      <c r="B241" s="33">
        <v>4.2500000000000003E-2</v>
      </c>
    </row>
    <row r="242" spans="1:2">
      <c r="A242" s="32">
        <v>44175</v>
      </c>
      <c r="B242" s="33">
        <v>4.2500000000000003E-2</v>
      </c>
    </row>
    <row r="243" spans="1:2">
      <c r="A243" s="32">
        <v>44176</v>
      </c>
      <c r="B243" s="33">
        <v>4.2500000000000003E-2</v>
      </c>
    </row>
    <row r="244" spans="1:2">
      <c r="A244" s="32">
        <v>44179</v>
      </c>
      <c r="B244" s="33">
        <v>4.2500000000000003E-2</v>
      </c>
    </row>
    <row r="245" spans="1:2">
      <c r="A245" s="32">
        <v>44180</v>
      </c>
      <c r="B245" s="33">
        <v>4.2500000000000003E-2</v>
      </c>
    </row>
    <row r="246" spans="1:2">
      <c r="A246" s="32">
        <v>44181</v>
      </c>
      <c r="B246" s="33">
        <v>4.2500000000000003E-2</v>
      </c>
    </row>
    <row r="247" spans="1:2">
      <c r="A247" s="32">
        <v>44182</v>
      </c>
      <c r="B247" s="33">
        <v>4.2500000000000003E-2</v>
      </c>
    </row>
    <row r="248" spans="1:2">
      <c r="A248" s="32">
        <v>44183</v>
      </c>
      <c r="B248" s="33">
        <v>4.2500000000000003E-2</v>
      </c>
    </row>
    <row r="249" spans="1:2">
      <c r="A249" s="32">
        <v>44186</v>
      </c>
      <c r="B249" s="33">
        <v>4.2500000000000003E-2</v>
      </c>
    </row>
    <row r="250" spans="1:2">
      <c r="A250" s="32">
        <v>44187</v>
      </c>
      <c r="B250" s="33">
        <v>4.2500000000000003E-2</v>
      </c>
    </row>
    <row r="251" spans="1:2">
      <c r="A251" s="32">
        <v>44188</v>
      </c>
      <c r="B251" s="33">
        <v>4.2500000000000003E-2</v>
      </c>
    </row>
    <row r="252" spans="1:2">
      <c r="A252" s="32">
        <v>44189</v>
      </c>
      <c r="B252" s="33">
        <v>4.2500000000000003E-2</v>
      </c>
    </row>
    <row r="253" spans="1:2">
      <c r="A253" s="32">
        <v>44190</v>
      </c>
      <c r="B253" s="33">
        <v>4.2500000000000003E-2</v>
      </c>
    </row>
    <row r="254" spans="1:2">
      <c r="A254" s="32">
        <v>44193</v>
      </c>
      <c r="B254" s="33">
        <v>4.2500000000000003E-2</v>
      </c>
    </row>
    <row r="255" spans="1:2">
      <c r="A255" s="32">
        <v>44194</v>
      </c>
      <c r="B255" s="33">
        <v>4.2500000000000003E-2</v>
      </c>
    </row>
    <row r="256" spans="1:2">
      <c r="A256" s="32">
        <v>44195</v>
      </c>
      <c r="B256" s="33">
        <v>4.2500000000000003E-2</v>
      </c>
    </row>
    <row r="257" spans="1:2">
      <c r="A257" s="32">
        <v>44196</v>
      </c>
      <c r="B257" s="33">
        <v>4.2500000000000003E-2</v>
      </c>
    </row>
    <row r="258" spans="1:2">
      <c r="A258" s="32">
        <v>44200</v>
      </c>
      <c r="B258" s="33">
        <v>4.2500000000000003E-2</v>
      </c>
    </row>
    <row r="259" spans="1:2">
      <c r="A259" s="32">
        <v>44201</v>
      </c>
      <c r="B259" s="33">
        <v>4.2500000000000003E-2</v>
      </c>
    </row>
    <row r="260" spans="1:2">
      <c r="A260" s="32">
        <v>44202</v>
      </c>
      <c r="B260" s="33">
        <v>4.2500000000000003E-2</v>
      </c>
    </row>
    <row r="261" spans="1:2">
      <c r="A261" s="32">
        <v>44204</v>
      </c>
      <c r="B261" s="33">
        <v>4.2500000000000003E-2</v>
      </c>
    </row>
    <row r="262" spans="1:2">
      <c r="A262" s="32">
        <v>44207</v>
      </c>
      <c r="B262" s="33">
        <v>4.2500000000000003E-2</v>
      </c>
    </row>
    <row r="263" spans="1:2">
      <c r="A263" s="32">
        <v>44208</v>
      </c>
      <c r="B263" s="33">
        <v>4.2500000000000003E-2</v>
      </c>
    </row>
    <row r="264" spans="1:2">
      <c r="A264" s="32">
        <v>44209</v>
      </c>
      <c r="B264" s="33">
        <v>4.2500000000000003E-2</v>
      </c>
    </row>
    <row r="265" spans="1:2">
      <c r="A265" s="32">
        <v>44210</v>
      </c>
      <c r="B265" s="33">
        <v>4.2500000000000003E-2</v>
      </c>
    </row>
    <row r="266" spans="1:2">
      <c r="A266" s="32">
        <v>44211</v>
      </c>
      <c r="B266" s="33">
        <v>4.2500000000000003E-2</v>
      </c>
    </row>
    <row r="267" spans="1:2">
      <c r="A267" s="32">
        <v>44214</v>
      </c>
      <c r="B267" s="33">
        <v>4.2500000000000003E-2</v>
      </c>
    </row>
    <row r="268" spans="1:2">
      <c r="A268" s="32">
        <v>44215</v>
      </c>
      <c r="B268" s="33">
        <v>4.2500000000000003E-2</v>
      </c>
    </row>
    <row r="269" spans="1:2">
      <c r="A269" s="32">
        <v>44216</v>
      </c>
      <c r="B269" s="33">
        <v>4.2500000000000003E-2</v>
      </c>
    </row>
    <row r="270" spans="1:2">
      <c r="A270" s="32">
        <v>44217</v>
      </c>
      <c r="B270" s="33">
        <v>4.2500000000000003E-2</v>
      </c>
    </row>
    <row r="271" spans="1:2">
      <c r="A271" s="32">
        <v>44218</v>
      </c>
      <c r="B271" s="33">
        <v>4.2500000000000003E-2</v>
      </c>
    </row>
    <row r="272" spans="1:2">
      <c r="A272" s="32">
        <v>44221</v>
      </c>
      <c r="B272" s="33">
        <v>4.2500000000000003E-2</v>
      </c>
    </row>
    <row r="273" spans="1:2">
      <c r="A273" s="32">
        <v>44222</v>
      </c>
      <c r="B273" s="33">
        <v>4.2500000000000003E-2</v>
      </c>
    </row>
    <row r="274" spans="1:2">
      <c r="A274" s="32">
        <v>44223</v>
      </c>
      <c r="B274" s="33">
        <v>4.2500000000000003E-2</v>
      </c>
    </row>
    <row r="275" spans="1:2">
      <c r="A275" s="32">
        <v>44224</v>
      </c>
      <c r="B275" s="33">
        <v>4.2500000000000003E-2</v>
      </c>
    </row>
    <row r="276" spans="1:2">
      <c r="A276" s="32">
        <v>44225</v>
      </c>
      <c r="B276" s="33">
        <v>4.2500000000000003E-2</v>
      </c>
    </row>
    <row r="277" spans="1:2">
      <c r="A277" s="32">
        <v>44228</v>
      </c>
      <c r="B277" s="33">
        <v>4.2500000000000003E-2</v>
      </c>
    </row>
    <row r="278" spans="1:2">
      <c r="A278" s="32">
        <v>44229</v>
      </c>
      <c r="B278" s="33">
        <v>4.2500000000000003E-2</v>
      </c>
    </row>
    <row r="279" spans="1:2">
      <c r="A279" s="32">
        <v>44230</v>
      </c>
      <c r="B279" s="33">
        <v>4.2500000000000003E-2</v>
      </c>
    </row>
    <row r="280" spans="1:2">
      <c r="A280" s="32">
        <v>44231</v>
      </c>
      <c r="B280" s="33">
        <v>4.2500000000000003E-2</v>
      </c>
    </row>
    <row r="281" spans="1:2">
      <c r="A281" s="32">
        <v>44232</v>
      </c>
      <c r="B281" s="33">
        <v>4.2500000000000003E-2</v>
      </c>
    </row>
    <row r="282" spans="1:2">
      <c r="A282" s="32">
        <v>44235</v>
      </c>
      <c r="B282" s="33">
        <v>4.2500000000000003E-2</v>
      </c>
    </row>
    <row r="283" spans="1:2">
      <c r="A283" s="32">
        <v>44236</v>
      </c>
      <c r="B283" s="33">
        <v>4.2500000000000003E-2</v>
      </c>
    </row>
    <row r="284" spans="1:2">
      <c r="A284" s="32">
        <v>44237</v>
      </c>
      <c r="B284" s="33">
        <v>4.2500000000000003E-2</v>
      </c>
    </row>
    <row r="285" spans="1:2">
      <c r="A285" s="32">
        <v>44238</v>
      </c>
      <c r="B285" s="33">
        <v>4.2500000000000003E-2</v>
      </c>
    </row>
    <row r="286" spans="1:2">
      <c r="A286" s="32">
        <v>44239</v>
      </c>
      <c r="B286" s="33">
        <v>4.2500000000000003E-2</v>
      </c>
    </row>
    <row r="287" spans="1:2">
      <c r="A287" s="32">
        <v>44242</v>
      </c>
      <c r="B287" s="33">
        <v>4.2500000000000003E-2</v>
      </c>
    </row>
    <row r="288" spans="1:2">
      <c r="A288" s="32">
        <v>44243</v>
      </c>
      <c r="B288" s="33">
        <v>4.2500000000000003E-2</v>
      </c>
    </row>
    <row r="289" spans="1:2">
      <c r="A289" s="32">
        <v>44244</v>
      </c>
      <c r="B289" s="33">
        <v>4.2500000000000003E-2</v>
      </c>
    </row>
    <row r="290" spans="1:2">
      <c r="A290" s="32">
        <v>44245</v>
      </c>
      <c r="B290" s="33">
        <v>4.2500000000000003E-2</v>
      </c>
    </row>
    <row r="291" spans="1:2">
      <c r="A291" s="32">
        <v>44246</v>
      </c>
      <c r="B291" s="33">
        <v>4.2500000000000003E-2</v>
      </c>
    </row>
    <row r="292" spans="1:2">
      <c r="A292" s="32">
        <v>44247</v>
      </c>
      <c r="B292" s="33">
        <v>4.2500000000000003E-2</v>
      </c>
    </row>
    <row r="293" spans="1:2">
      <c r="A293" s="32">
        <v>44249</v>
      </c>
      <c r="B293" s="33">
        <v>4.2500000000000003E-2</v>
      </c>
    </row>
    <row r="294" spans="1:2">
      <c r="A294" s="32">
        <v>44251</v>
      </c>
      <c r="B294" s="33">
        <v>4.2500000000000003E-2</v>
      </c>
    </row>
    <row r="295" spans="1:2">
      <c r="A295" s="32">
        <v>44252</v>
      </c>
      <c r="B295" s="33">
        <v>4.2500000000000003E-2</v>
      </c>
    </row>
    <row r="296" spans="1:2">
      <c r="A296" s="32">
        <v>44253</v>
      </c>
      <c r="B296" s="33">
        <v>4.2500000000000003E-2</v>
      </c>
    </row>
    <row r="297" spans="1:2">
      <c r="A297" s="32">
        <v>44256</v>
      </c>
      <c r="B297" s="33">
        <v>4.2500000000000003E-2</v>
      </c>
    </row>
    <row r="298" spans="1:2">
      <c r="A298" s="32">
        <v>44257</v>
      </c>
      <c r="B298" s="33">
        <v>4.2500000000000003E-2</v>
      </c>
    </row>
    <row r="299" spans="1:2">
      <c r="A299" s="32">
        <v>44258</v>
      </c>
      <c r="B299" s="33">
        <v>4.2500000000000003E-2</v>
      </c>
    </row>
    <row r="300" spans="1:2">
      <c r="A300" s="32">
        <v>44259</v>
      </c>
      <c r="B300" s="33">
        <v>4.2500000000000003E-2</v>
      </c>
    </row>
    <row r="301" spans="1:2">
      <c r="A301" s="32">
        <v>44260</v>
      </c>
      <c r="B301" s="33">
        <v>4.2500000000000003E-2</v>
      </c>
    </row>
    <row r="302" spans="1:2">
      <c r="A302" s="32">
        <v>44264</v>
      </c>
      <c r="B302" s="33">
        <v>4.2500000000000003E-2</v>
      </c>
    </row>
    <row r="303" spans="1:2">
      <c r="A303" s="32">
        <v>44265</v>
      </c>
      <c r="B303" s="33">
        <v>4.2500000000000003E-2</v>
      </c>
    </row>
    <row r="304" spans="1:2">
      <c r="A304" s="32">
        <v>44266</v>
      </c>
      <c r="B304" s="33">
        <v>4.2500000000000003E-2</v>
      </c>
    </row>
    <row r="305" spans="1:2">
      <c r="A305" s="32">
        <v>44267</v>
      </c>
      <c r="B305" s="33">
        <v>4.2500000000000003E-2</v>
      </c>
    </row>
    <row r="306" spans="1:2">
      <c r="A306" s="32">
        <v>44270</v>
      </c>
      <c r="B306" s="33">
        <v>4.2500000000000003E-2</v>
      </c>
    </row>
    <row r="307" spans="1:2">
      <c r="A307" s="32">
        <v>44271</v>
      </c>
      <c r="B307" s="33">
        <v>4.2500000000000003E-2</v>
      </c>
    </row>
    <row r="308" spans="1:2">
      <c r="A308" s="32">
        <v>44272</v>
      </c>
      <c r="B308" s="33">
        <v>4.2500000000000003E-2</v>
      </c>
    </row>
    <row r="309" spans="1:2">
      <c r="A309" s="32">
        <v>44273</v>
      </c>
      <c r="B309" s="33">
        <v>4.2500000000000003E-2</v>
      </c>
    </row>
    <row r="310" spans="1:2">
      <c r="A310" s="32">
        <v>44274</v>
      </c>
      <c r="B310" s="33">
        <v>4.2500000000000003E-2</v>
      </c>
    </row>
    <row r="311" spans="1:2">
      <c r="A311" s="32">
        <v>44277</v>
      </c>
      <c r="B311" s="33">
        <v>4.4999999999999998E-2</v>
      </c>
    </row>
    <row r="312" spans="1:2">
      <c r="A312" s="32">
        <v>44278</v>
      </c>
      <c r="B312" s="33">
        <v>4.4999999999999998E-2</v>
      </c>
    </row>
    <row r="313" spans="1:2">
      <c r="A313" s="32">
        <v>44279</v>
      </c>
      <c r="B313" s="33">
        <v>4.4999999999999998E-2</v>
      </c>
    </row>
    <row r="314" spans="1:2">
      <c r="A314" s="32">
        <v>44280</v>
      </c>
      <c r="B314" s="33">
        <v>4.4999999999999998E-2</v>
      </c>
    </row>
    <row r="315" spans="1:2">
      <c r="A315" s="32">
        <v>44281</v>
      </c>
      <c r="B315" s="33">
        <v>4.4999999999999998E-2</v>
      </c>
    </row>
    <row r="316" spans="1:2">
      <c r="A316" s="32">
        <v>44284</v>
      </c>
      <c r="B316" s="33">
        <v>4.4999999999999998E-2</v>
      </c>
    </row>
    <row r="317" spans="1:2">
      <c r="A317" s="32">
        <v>44285</v>
      </c>
      <c r="B317" s="33">
        <v>4.4999999999999998E-2</v>
      </c>
    </row>
    <row r="318" spans="1:2">
      <c r="A318" s="32">
        <v>44286</v>
      </c>
      <c r="B318" s="33">
        <v>4.4999999999999998E-2</v>
      </c>
    </row>
    <row r="319" spans="1:2">
      <c r="A319" s="32">
        <v>44287</v>
      </c>
      <c r="B319" s="33">
        <v>4.4999999999999998E-2</v>
      </c>
    </row>
    <row r="320" spans="1:2">
      <c r="A320" s="32">
        <v>44288</v>
      </c>
      <c r="B320" s="33">
        <v>4.4999999999999998E-2</v>
      </c>
    </row>
    <row r="321" spans="1:2">
      <c r="A321" s="32">
        <v>44291</v>
      </c>
      <c r="B321" s="33">
        <v>4.4999999999999998E-2</v>
      </c>
    </row>
    <row r="322" spans="1:2">
      <c r="A322" s="32">
        <v>44292</v>
      </c>
      <c r="B322" s="33">
        <v>4.4999999999999998E-2</v>
      </c>
    </row>
    <row r="323" spans="1:2">
      <c r="A323" s="32">
        <v>44293</v>
      </c>
      <c r="B323" s="33">
        <v>4.4999999999999998E-2</v>
      </c>
    </row>
    <row r="324" spans="1:2">
      <c r="A324" s="32">
        <v>44294</v>
      </c>
      <c r="B324" s="33">
        <v>4.4999999999999998E-2</v>
      </c>
    </row>
    <row r="325" spans="1:2">
      <c r="A325" s="32">
        <v>44295</v>
      </c>
      <c r="B325" s="33">
        <v>4.4999999999999998E-2</v>
      </c>
    </row>
    <row r="326" spans="1:2">
      <c r="A326" s="32">
        <v>44298</v>
      </c>
      <c r="B326" s="33">
        <v>4.4999999999999998E-2</v>
      </c>
    </row>
    <row r="327" spans="1:2">
      <c r="A327" s="32">
        <v>44299</v>
      </c>
      <c r="B327" s="33">
        <v>4.4999999999999998E-2</v>
      </c>
    </row>
    <row r="328" spans="1:2">
      <c r="A328" s="32">
        <v>44300</v>
      </c>
      <c r="B328" s="33">
        <v>4.4999999999999998E-2</v>
      </c>
    </row>
    <row r="329" spans="1:2">
      <c r="A329" s="32">
        <v>44301</v>
      </c>
      <c r="B329" s="33">
        <v>4.4999999999999998E-2</v>
      </c>
    </row>
    <row r="330" spans="1:2">
      <c r="A330" s="32">
        <v>44302</v>
      </c>
      <c r="B330" s="33">
        <v>4.4999999999999998E-2</v>
      </c>
    </row>
    <row r="331" spans="1:2">
      <c r="A331" s="32">
        <v>44305</v>
      </c>
      <c r="B331" s="33">
        <v>4.4999999999999998E-2</v>
      </c>
    </row>
    <row r="332" spans="1:2">
      <c r="A332" s="32">
        <v>44306</v>
      </c>
      <c r="B332" s="33">
        <v>4.4999999999999998E-2</v>
      </c>
    </row>
    <row r="333" spans="1:2">
      <c r="A333" s="32">
        <v>44307</v>
      </c>
      <c r="B333" s="33">
        <v>4.4999999999999998E-2</v>
      </c>
    </row>
    <row r="334" spans="1:2">
      <c r="A334" s="32">
        <v>44308</v>
      </c>
      <c r="B334" s="33">
        <v>4.4999999999999998E-2</v>
      </c>
    </row>
    <row r="335" spans="1:2">
      <c r="A335" s="32">
        <v>44309</v>
      </c>
      <c r="B335" s="33">
        <v>4.4999999999999998E-2</v>
      </c>
    </row>
    <row r="336" spans="1:2">
      <c r="A336" s="32">
        <v>44312</v>
      </c>
      <c r="B336" s="33">
        <v>0.05</v>
      </c>
    </row>
    <row r="337" spans="1:2">
      <c r="A337" s="32">
        <v>44313</v>
      </c>
      <c r="B337" s="33">
        <v>0.05</v>
      </c>
    </row>
    <row r="338" spans="1:2">
      <c r="A338" s="32">
        <v>44314</v>
      </c>
      <c r="B338" s="33">
        <v>0.05</v>
      </c>
    </row>
    <row r="339" spans="1:2">
      <c r="A339" s="32">
        <v>44315</v>
      </c>
      <c r="B339" s="33">
        <v>0.05</v>
      </c>
    </row>
    <row r="340" spans="1:2">
      <c r="A340" s="32">
        <v>44316</v>
      </c>
      <c r="B340" s="33">
        <v>0.05</v>
      </c>
    </row>
    <row r="341" spans="1:2">
      <c r="A341" s="32">
        <v>44320</v>
      </c>
      <c r="B341" s="33">
        <v>0.05</v>
      </c>
    </row>
    <row r="342" spans="1:2">
      <c r="A342" s="32">
        <v>44321</v>
      </c>
      <c r="B342" s="33">
        <v>0.05</v>
      </c>
    </row>
    <row r="343" spans="1:2">
      <c r="A343" s="32">
        <v>44322</v>
      </c>
      <c r="B343" s="33">
        <v>0.05</v>
      </c>
    </row>
    <row r="344" spans="1:2">
      <c r="A344" s="32">
        <v>44323</v>
      </c>
      <c r="B344" s="33">
        <v>0.05</v>
      </c>
    </row>
    <row r="345" spans="1:2">
      <c r="A345" s="32">
        <v>44327</v>
      </c>
      <c r="B345" s="33">
        <v>0.05</v>
      </c>
    </row>
    <row r="346" spans="1:2">
      <c r="A346" s="32">
        <v>44328</v>
      </c>
      <c r="B346" s="33">
        <v>0.05</v>
      </c>
    </row>
    <row r="347" spans="1:2">
      <c r="A347" s="32">
        <v>44329</v>
      </c>
      <c r="B347" s="33">
        <v>0.05</v>
      </c>
    </row>
    <row r="348" spans="1:2">
      <c r="A348" s="32">
        <v>44330</v>
      </c>
      <c r="B348" s="33">
        <v>0.05</v>
      </c>
    </row>
    <row r="349" spans="1:2">
      <c r="A349" s="32">
        <v>44333</v>
      </c>
      <c r="B349" s="33">
        <v>0.05</v>
      </c>
    </row>
    <row r="350" spans="1:2">
      <c r="A350" s="32">
        <v>44334</v>
      </c>
      <c r="B350" s="33">
        <v>0.05</v>
      </c>
    </row>
    <row r="351" spans="1:2">
      <c r="A351" s="32">
        <v>44335</v>
      </c>
      <c r="B351" s="33">
        <v>0.05</v>
      </c>
    </row>
    <row r="352" spans="1:2">
      <c r="A352" s="32">
        <v>44336</v>
      </c>
      <c r="B352" s="33">
        <v>0.05</v>
      </c>
    </row>
    <row r="353" spans="1:2">
      <c r="A353" s="32">
        <v>44337</v>
      </c>
      <c r="B353" s="33">
        <v>0.05</v>
      </c>
    </row>
    <row r="354" spans="1:2">
      <c r="A354" s="32">
        <v>44340</v>
      </c>
      <c r="B354" s="33">
        <v>0.05</v>
      </c>
    </row>
    <row r="355" spans="1:2">
      <c r="A355" s="32">
        <v>44341</v>
      </c>
      <c r="B355" s="33">
        <v>0.05</v>
      </c>
    </row>
    <row r="356" spans="1:2">
      <c r="A356" s="32">
        <v>44342</v>
      </c>
      <c r="B356" s="33">
        <v>0.05</v>
      </c>
    </row>
    <row r="357" spans="1:2">
      <c r="A357" s="32">
        <v>44343</v>
      </c>
      <c r="B357" s="33">
        <v>0.05</v>
      </c>
    </row>
    <row r="358" spans="1:2">
      <c r="A358" s="32">
        <v>44344</v>
      </c>
      <c r="B358" s="33">
        <v>0.05</v>
      </c>
    </row>
    <row r="359" spans="1:2">
      <c r="A359" s="32">
        <v>44347</v>
      </c>
      <c r="B359" s="33">
        <v>0.05</v>
      </c>
    </row>
    <row r="360" spans="1:2">
      <c r="A360" s="32">
        <v>44348</v>
      </c>
      <c r="B360" s="33">
        <v>0.05</v>
      </c>
    </row>
    <row r="361" spans="1:2">
      <c r="A361" s="32">
        <v>44349</v>
      </c>
      <c r="B361" s="33">
        <v>0.05</v>
      </c>
    </row>
    <row r="362" spans="1:2">
      <c r="A362" s="32">
        <v>44350</v>
      </c>
      <c r="B362" s="33">
        <v>0.05</v>
      </c>
    </row>
    <row r="363" spans="1:2">
      <c r="A363" s="32">
        <v>44351</v>
      </c>
      <c r="B363" s="33">
        <v>0.05</v>
      </c>
    </row>
    <row r="364" spans="1:2">
      <c r="A364" s="32">
        <v>44354</v>
      </c>
      <c r="B364" s="33">
        <v>0.05</v>
      </c>
    </row>
    <row r="365" spans="1:2">
      <c r="A365" s="32">
        <v>44355</v>
      </c>
      <c r="B365" s="33">
        <v>0.05</v>
      </c>
    </row>
    <row r="366" spans="1:2">
      <c r="A366" s="32">
        <v>44356</v>
      </c>
      <c r="B366" s="33">
        <v>0.05</v>
      </c>
    </row>
    <row r="367" spans="1:2">
      <c r="A367" s="32">
        <v>44357</v>
      </c>
      <c r="B367" s="33">
        <v>0.05</v>
      </c>
    </row>
    <row r="368" spans="1:2">
      <c r="A368" s="32">
        <v>44358</v>
      </c>
      <c r="B368" s="33">
        <v>0.05</v>
      </c>
    </row>
    <row r="369" spans="1:2">
      <c r="A369" s="32">
        <v>44361</v>
      </c>
      <c r="B369" s="33">
        <v>0.05</v>
      </c>
    </row>
    <row r="370" spans="1:2">
      <c r="A370" s="32">
        <v>44362</v>
      </c>
      <c r="B370" s="33">
        <v>5.5E-2</v>
      </c>
    </row>
    <row r="371" spans="1:2">
      <c r="A371" s="32">
        <v>44363</v>
      </c>
      <c r="B371" s="33">
        <v>5.5E-2</v>
      </c>
    </row>
    <row r="372" spans="1:2">
      <c r="A372" s="32">
        <v>44364</v>
      </c>
      <c r="B372" s="33">
        <v>5.5E-2</v>
      </c>
    </row>
    <row r="373" spans="1:2">
      <c r="A373" s="32">
        <v>44365</v>
      </c>
      <c r="B373" s="33">
        <v>5.5E-2</v>
      </c>
    </row>
    <row r="374" spans="1:2">
      <c r="A374" s="32">
        <v>44368</v>
      </c>
      <c r="B374" s="33">
        <v>5.5E-2</v>
      </c>
    </row>
    <row r="375" spans="1:2">
      <c r="A375" s="32">
        <v>44369</v>
      </c>
      <c r="B375" s="33">
        <v>5.5E-2</v>
      </c>
    </row>
    <row r="376" spans="1:2">
      <c r="A376" s="32">
        <v>44370</v>
      </c>
      <c r="B376" s="33">
        <v>5.5E-2</v>
      </c>
    </row>
    <row r="377" spans="1:2">
      <c r="A377" s="32">
        <v>44371</v>
      </c>
      <c r="B377" s="33">
        <v>5.5E-2</v>
      </c>
    </row>
    <row r="378" spans="1:2">
      <c r="A378" s="32">
        <v>44372</v>
      </c>
      <c r="B378" s="33">
        <v>5.5E-2</v>
      </c>
    </row>
    <row r="379" spans="1:2">
      <c r="A379" s="32">
        <v>44375</v>
      </c>
      <c r="B379" s="33">
        <v>5.5E-2</v>
      </c>
    </row>
    <row r="380" spans="1:2">
      <c r="A380" s="32">
        <v>44376</v>
      </c>
      <c r="B380" s="33">
        <v>5.5E-2</v>
      </c>
    </row>
    <row r="381" spans="1:2">
      <c r="A381" s="32">
        <v>44377</v>
      </c>
      <c r="B381" s="33">
        <v>5.5E-2</v>
      </c>
    </row>
    <row r="382" spans="1:2">
      <c r="A382" s="32">
        <v>44378</v>
      </c>
      <c r="B382" s="33">
        <v>5.5E-2</v>
      </c>
    </row>
    <row r="383" spans="1:2">
      <c r="A383" s="32">
        <v>44379</v>
      </c>
      <c r="B383" s="33">
        <v>5.5E-2</v>
      </c>
    </row>
    <row r="384" spans="1:2">
      <c r="A384" s="32">
        <v>44382</v>
      </c>
      <c r="B384" s="33">
        <v>5.5E-2</v>
      </c>
    </row>
    <row r="385" spans="1:2">
      <c r="A385" s="32">
        <v>44383</v>
      </c>
      <c r="B385" s="33">
        <v>5.5E-2</v>
      </c>
    </row>
    <row r="386" spans="1:2">
      <c r="A386" s="32">
        <v>44384</v>
      </c>
      <c r="B386" s="33">
        <v>5.5E-2</v>
      </c>
    </row>
    <row r="387" spans="1:2">
      <c r="A387" s="32">
        <v>44385</v>
      </c>
      <c r="B387" s="33">
        <v>5.5E-2</v>
      </c>
    </row>
    <row r="388" spans="1:2">
      <c r="A388" s="32">
        <v>44386</v>
      </c>
      <c r="B388" s="33">
        <v>5.5E-2</v>
      </c>
    </row>
    <row r="389" spans="1:2">
      <c r="A389" s="32">
        <v>44389</v>
      </c>
      <c r="B389" s="33">
        <v>5.5E-2</v>
      </c>
    </row>
    <row r="390" spans="1:2">
      <c r="A390" s="32">
        <v>44390</v>
      </c>
      <c r="B390" s="33">
        <v>5.5E-2</v>
      </c>
    </row>
    <row r="391" spans="1:2">
      <c r="A391" s="32">
        <v>44391</v>
      </c>
      <c r="B391" s="33">
        <v>5.5E-2</v>
      </c>
    </row>
    <row r="392" spans="1:2">
      <c r="A392" s="32">
        <v>44392</v>
      </c>
      <c r="B392" s="33">
        <v>5.5E-2</v>
      </c>
    </row>
    <row r="393" spans="1:2">
      <c r="A393" s="32">
        <v>44393</v>
      </c>
      <c r="B393" s="33">
        <v>5.5E-2</v>
      </c>
    </row>
    <row r="394" spans="1:2">
      <c r="A394" s="32">
        <v>44396</v>
      </c>
      <c r="B394" s="33">
        <v>5.5E-2</v>
      </c>
    </row>
    <row r="395" spans="1:2">
      <c r="A395" s="32">
        <v>44397</v>
      </c>
      <c r="B395" s="33">
        <v>5.5E-2</v>
      </c>
    </row>
    <row r="396" spans="1:2">
      <c r="A396" s="32">
        <v>44398</v>
      </c>
      <c r="B396" s="33">
        <v>5.5E-2</v>
      </c>
    </row>
    <row r="397" spans="1:2">
      <c r="A397" s="32">
        <v>44399</v>
      </c>
      <c r="B397" s="33">
        <v>5.5E-2</v>
      </c>
    </row>
    <row r="398" spans="1:2">
      <c r="A398" s="32">
        <v>44400</v>
      </c>
      <c r="B398" s="33">
        <v>5.5E-2</v>
      </c>
    </row>
    <row r="399" spans="1:2">
      <c r="A399" s="32">
        <v>44403</v>
      </c>
      <c r="B399" s="33">
        <v>6.5000000000000002E-2</v>
      </c>
    </row>
    <row r="400" spans="1:2">
      <c r="A400" s="32">
        <v>44404</v>
      </c>
      <c r="B400" s="33">
        <v>6.5000000000000002E-2</v>
      </c>
    </row>
    <row r="401" spans="1:2">
      <c r="A401" s="32">
        <v>44405</v>
      </c>
      <c r="B401" s="33">
        <v>6.5000000000000002E-2</v>
      </c>
    </row>
    <row r="402" spans="1:2">
      <c r="A402" s="32">
        <v>44406</v>
      </c>
      <c r="B402" s="33">
        <v>6.5000000000000002E-2</v>
      </c>
    </row>
    <row r="403" spans="1:2">
      <c r="A403" s="32">
        <v>44407</v>
      </c>
      <c r="B403" s="33">
        <v>6.5000000000000002E-2</v>
      </c>
    </row>
    <row r="404" spans="1:2">
      <c r="A404" s="32">
        <v>44410</v>
      </c>
      <c r="B404" s="33">
        <v>6.5000000000000002E-2</v>
      </c>
    </row>
    <row r="405" spans="1:2">
      <c r="A405" s="32">
        <v>44411</v>
      </c>
      <c r="B405" s="33">
        <v>6.5000000000000002E-2</v>
      </c>
    </row>
    <row r="406" spans="1:2">
      <c r="A406" s="32">
        <v>44412</v>
      </c>
      <c r="B406" s="33">
        <v>6.5000000000000002E-2</v>
      </c>
    </row>
    <row r="407" spans="1:2">
      <c r="A407" s="32">
        <v>44413</v>
      </c>
      <c r="B407" s="33">
        <v>6.5000000000000002E-2</v>
      </c>
    </row>
    <row r="408" spans="1:2">
      <c r="A408" s="32">
        <v>44414</v>
      </c>
      <c r="B408" s="33">
        <v>6.5000000000000002E-2</v>
      </c>
    </row>
    <row r="409" spans="1:2">
      <c r="A409" s="32">
        <v>44417</v>
      </c>
      <c r="B409" s="33">
        <v>6.5000000000000002E-2</v>
      </c>
    </row>
    <row r="410" spans="1:2">
      <c r="A410" s="32">
        <v>44418</v>
      </c>
      <c r="B410" s="33">
        <v>6.5000000000000002E-2</v>
      </c>
    </row>
    <row r="411" spans="1:2">
      <c r="A411" s="32">
        <v>44419</v>
      </c>
      <c r="B411" s="33">
        <v>6.5000000000000002E-2</v>
      </c>
    </row>
    <row r="412" spans="1:2">
      <c r="A412" s="32">
        <v>44420</v>
      </c>
      <c r="B412" s="33">
        <v>6.5000000000000002E-2</v>
      </c>
    </row>
    <row r="413" spans="1:2">
      <c r="A413" s="32">
        <v>44421</v>
      </c>
      <c r="B413" s="33">
        <v>6.5000000000000002E-2</v>
      </c>
    </row>
    <row r="414" spans="1:2">
      <c r="A414" s="32">
        <v>44424</v>
      </c>
      <c r="B414" s="33">
        <v>6.5000000000000002E-2</v>
      </c>
    </row>
    <row r="415" spans="1:2">
      <c r="A415" s="32">
        <v>44425</v>
      </c>
      <c r="B415" s="33">
        <v>6.5000000000000002E-2</v>
      </c>
    </row>
    <row r="416" spans="1:2">
      <c r="A416" s="32">
        <v>44426</v>
      </c>
      <c r="B416" s="33">
        <v>6.5000000000000002E-2</v>
      </c>
    </row>
    <row r="417" spans="1:2">
      <c r="A417" s="32">
        <v>44427</v>
      </c>
      <c r="B417" s="33">
        <v>6.5000000000000002E-2</v>
      </c>
    </row>
    <row r="418" spans="1:2">
      <c r="A418" s="32">
        <v>44428</v>
      </c>
      <c r="B418" s="33">
        <v>6.5000000000000002E-2</v>
      </c>
    </row>
    <row r="419" spans="1:2">
      <c r="A419" s="32">
        <v>44431</v>
      </c>
      <c r="B419" s="33">
        <v>6.5000000000000002E-2</v>
      </c>
    </row>
    <row r="420" spans="1:2">
      <c r="A420" s="32">
        <v>44432</v>
      </c>
      <c r="B420" s="33">
        <v>6.5000000000000002E-2</v>
      </c>
    </row>
    <row r="421" spans="1:2">
      <c r="A421" s="32">
        <v>44433</v>
      </c>
      <c r="B421" s="33">
        <v>6.5000000000000002E-2</v>
      </c>
    </row>
    <row r="422" spans="1:2">
      <c r="A422" s="32">
        <v>44434</v>
      </c>
      <c r="B422" s="33">
        <v>6.5000000000000002E-2</v>
      </c>
    </row>
    <row r="423" spans="1:2">
      <c r="A423" s="32">
        <v>44435</v>
      </c>
      <c r="B423" s="33">
        <v>6.5000000000000002E-2</v>
      </c>
    </row>
    <row r="424" spans="1:2">
      <c r="A424" s="32">
        <v>44438</v>
      </c>
      <c r="B424" s="33">
        <v>6.5000000000000002E-2</v>
      </c>
    </row>
    <row r="425" spans="1:2">
      <c r="A425" s="32">
        <v>44439</v>
      </c>
      <c r="B425" s="33">
        <v>6.5000000000000002E-2</v>
      </c>
    </row>
    <row r="426" spans="1:2">
      <c r="A426" s="32">
        <v>44440</v>
      </c>
      <c r="B426" s="33">
        <v>6.5000000000000002E-2</v>
      </c>
    </row>
    <row r="427" spans="1:2">
      <c r="A427" s="32">
        <v>44441</v>
      </c>
      <c r="B427" s="33">
        <v>6.5000000000000002E-2</v>
      </c>
    </row>
    <row r="428" spans="1:2">
      <c r="A428" s="32">
        <v>44442</v>
      </c>
      <c r="B428" s="33">
        <v>6.5000000000000002E-2</v>
      </c>
    </row>
    <row r="429" spans="1:2">
      <c r="A429" s="32">
        <v>44445</v>
      </c>
      <c r="B429" s="33">
        <v>6.5000000000000002E-2</v>
      </c>
    </row>
    <row r="430" spans="1:2">
      <c r="A430" s="32">
        <v>44446</v>
      </c>
      <c r="B430" s="33">
        <v>6.5000000000000002E-2</v>
      </c>
    </row>
    <row r="431" spans="1:2">
      <c r="A431" s="32">
        <v>44447</v>
      </c>
      <c r="B431" s="33">
        <v>6.5000000000000002E-2</v>
      </c>
    </row>
    <row r="432" spans="1:2">
      <c r="A432" s="32">
        <v>44448</v>
      </c>
      <c r="B432" s="33">
        <v>6.5000000000000002E-2</v>
      </c>
    </row>
    <row r="433" spans="1:2">
      <c r="A433" s="32">
        <v>44449</v>
      </c>
      <c r="B433" s="33">
        <v>6.5000000000000002E-2</v>
      </c>
    </row>
    <row r="434" spans="1:2">
      <c r="A434" s="32">
        <v>44452</v>
      </c>
      <c r="B434" s="33">
        <v>6.7500000000000004E-2</v>
      </c>
    </row>
    <row r="435" spans="1:2">
      <c r="A435" s="32">
        <v>44453</v>
      </c>
      <c r="B435" s="33">
        <v>6.7500000000000004E-2</v>
      </c>
    </row>
    <row r="436" spans="1:2">
      <c r="A436" s="32">
        <v>44454</v>
      </c>
      <c r="B436" s="33">
        <v>6.7500000000000004E-2</v>
      </c>
    </row>
    <row r="437" spans="1:2">
      <c r="A437" s="32">
        <v>44455</v>
      </c>
      <c r="B437" s="33">
        <v>6.7500000000000004E-2</v>
      </c>
    </row>
    <row r="438" spans="1:2">
      <c r="A438" s="32">
        <v>44456</v>
      </c>
      <c r="B438" s="33">
        <v>6.7500000000000004E-2</v>
      </c>
    </row>
    <row r="439" spans="1:2">
      <c r="A439" s="32">
        <v>44459</v>
      </c>
      <c r="B439" s="33">
        <v>6.7500000000000004E-2</v>
      </c>
    </row>
    <row r="440" spans="1:2">
      <c r="A440" s="32">
        <v>44460</v>
      </c>
      <c r="B440" s="33">
        <v>6.7500000000000004E-2</v>
      </c>
    </row>
    <row r="441" spans="1:2">
      <c r="A441" s="32">
        <v>44461</v>
      </c>
      <c r="B441" s="33">
        <v>6.7500000000000004E-2</v>
      </c>
    </row>
    <row r="442" spans="1:2">
      <c r="A442" s="32">
        <v>44462</v>
      </c>
      <c r="B442" s="33">
        <v>6.7500000000000004E-2</v>
      </c>
    </row>
    <row r="443" spans="1:2">
      <c r="A443" s="32">
        <v>44463</v>
      </c>
      <c r="B443" s="33">
        <v>6.7500000000000004E-2</v>
      </c>
    </row>
    <row r="444" spans="1:2">
      <c r="A444" s="32">
        <v>44466</v>
      </c>
      <c r="B444" s="33">
        <v>6.7500000000000004E-2</v>
      </c>
    </row>
    <row r="445" spans="1:2">
      <c r="A445" s="32">
        <v>44467</v>
      </c>
      <c r="B445" s="33">
        <v>6.7500000000000004E-2</v>
      </c>
    </row>
    <row r="446" spans="1:2">
      <c r="A446" s="32">
        <v>44468</v>
      </c>
      <c r="B446" s="33">
        <v>6.7500000000000004E-2</v>
      </c>
    </row>
    <row r="447" spans="1:2">
      <c r="A447" s="32">
        <v>44469</v>
      </c>
      <c r="B447" s="33">
        <v>6.7500000000000004E-2</v>
      </c>
    </row>
    <row r="448" spans="1:2">
      <c r="A448" s="32">
        <v>44470</v>
      </c>
      <c r="B448" s="33">
        <v>6.7500000000000004E-2</v>
      </c>
    </row>
    <row r="449" spans="1:2">
      <c r="A449" s="32">
        <v>44473</v>
      </c>
      <c r="B449" s="33">
        <v>6.7500000000000004E-2</v>
      </c>
    </row>
    <row r="450" spans="1:2">
      <c r="A450" s="32">
        <v>44474</v>
      </c>
      <c r="B450" s="33">
        <v>6.7500000000000004E-2</v>
      </c>
    </row>
    <row r="451" spans="1:2">
      <c r="A451" s="32">
        <v>44475</v>
      </c>
      <c r="B451" s="33">
        <v>6.7500000000000004E-2</v>
      </c>
    </row>
    <row r="452" spans="1:2">
      <c r="A452" s="32">
        <v>44476</v>
      </c>
      <c r="B452" s="33">
        <v>6.7500000000000004E-2</v>
      </c>
    </row>
    <row r="453" spans="1:2">
      <c r="A453" s="32">
        <v>44477</v>
      </c>
      <c r="B453" s="33">
        <v>6.7500000000000004E-2</v>
      </c>
    </row>
    <row r="454" spans="1:2">
      <c r="A454" s="32">
        <v>44480</v>
      </c>
      <c r="B454" s="33">
        <v>6.7500000000000004E-2</v>
      </c>
    </row>
    <row r="455" spans="1:2">
      <c r="A455" s="32">
        <v>44481</v>
      </c>
      <c r="B455" s="33">
        <v>6.7500000000000004E-2</v>
      </c>
    </row>
    <row r="456" spans="1:2">
      <c r="A456" s="32">
        <v>44482</v>
      </c>
      <c r="B456" s="33">
        <v>6.7500000000000004E-2</v>
      </c>
    </row>
    <row r="457" spans="1:2">
      <c r="A457" s="32">
        <v>44483</v>
      </c>
      <c r="B457" s="33">
        <v>6.7500000000000004E-2</v>
      </c>
    </row>
    <row r="458" spans="1:2">
      <c r="A458" s="32">
        <v>44484</v>
      </c>
      <c r="B458" s="33">
        <v>6.7500000000000004E-2</v>
      </c>
    </row>
    <row r="459" spans="1:2">
      <c r="A459" s="32">
        <v>44487</v>
      </c>
      <c r="B459" s="33">
        <v>6.7500000000000004E-2</v>
      </c>
    </row>
    <row r="460" spans="1:2">
      <c r="A460" s="32">
        <v>44488</v>
      </c>
      <c r="B460" s="33">
        <v>6.7500000000000004E-2</v>
      </c>
    </row>
    <row r="461" spans="1:2">
      <c r="A461" s="32">
        <v>44489</v>
      </c>
      <c r="B461" s="33">
        <v>6.7500000000000004E-2</v>
      </c>
    </row>
    <row r="462" spans="1:2">
      <c r="A462" s="32">
        <v>44490</v>
      </c>
      <c r="B462" s="33">
        <v>6.7500000000000004E-2</v>
      </c>
    </row>
    <row r="463" spans="1:2">
      <c r="A463" s="32">
        <v>44491</v>
      </c>
      <c r="B463" s="33">
        <v>6.7500000000000004E-2</v>
      </c>
    </row>
    <row r="464" spans="1:2">
      <c r="A464" s="32">
        <v>44494</v>
      </c>
      <c r="B464" s="33">
        <v>7.4999999999999997E-2</v>
      </c>
    </row>
    <row r="465" spans="1:2">
      <c r="A465" s="32">
        <v>44495</v>
      </c>
      <c r="B465" s="33">
        <v>7.4999999999999997E-2</v>
      </c>
    </row>
    <row r="466" spans="1:2">
      <c r="A466" s="32">
        <v>44496</v>
      </c>
      <c r="B466" s="33">
        <v>7.4999999999999997E-2</v>
      </c>
    </row>
    <row r="467" spans="1:2">
      <c r="A467" s="32">
        <v>44497</v>
      </c>
      <c r="B467" s="33">
        <v>7.4999999999999997E-2</v>
      </c>
    </row>
    <row r="468" spans="1:2">
      <c r="A468" s="32">
        <v>44498</v>
      </c>
      <c r="B468" s="33">
        <v>7.4999999999999997E-2</v>
      </c>
    </row>
    <row r="469" spans="1:2">
      <c r="A469" s="32">
        <v>44501</v>
      </c>
      <c r="B469" s="33">
        <v>7.4999999999999997E-2</v>
      </c>
    </row>
    <row r="470" spans="1:2">
      <c r="A470" s="32">
        <v>44502</v>
      </c>
      <c r="B470" s="33">
        <v>7.4999999999999997E-2</v>
      </c>
    </row>
    <row r="471" spans="1:2">
      <c r="A471" s="32">
        <v>44503</v>
      </c>
      <c r="B471" s="33">
        <v>7.4999999999999997E-2</v>
      </c>
    </row>
    <row r="472" spans="1:2">
      <c r="A472" s="32">
        <v>44505</v>
      </c>
      <c r="B472" s="33">
        <v>7.4999999999999997E-2</v>
      </c>
    </row>
    <row r="473" spans="1:2">
      <c r="A473" s="32">
        <v>44508</v>
      </c>
      <c r="B473" s="33">
        <v>7.4999999999999997E-2</v>
      </c>
    </row>
    <row r="474" spans="1:2">
      <c r="A474" s="32">
        <v>44509</v>
      </c>
      <c r="B474" s="33">
        <v>7.4999999999999997E-2</v>
      </c>
    </row>
    <row r="475" spans="1:2">
      <c r="A475" s="32">
        <v>44510</v>
      </c>
      <c r="B475" s="33">
        <v>7.4999999999999997E-2</v>
      </c>
    </row>
    <row r="476" spans="1:2">
      <c r="A476" s="32">
        <v>44511</v>
      </c>
      <c r="B476" s="33">
        <v>7.4999999999999997E-2</v>
      </c>
    </row>
    <row r="477" spans="1:2">
      <c r="A477" s="32">
        <v>44512</v>
      </c>
      <c r="B477" s="33">
        <v>7.4999999999999997E-2</v>
      </c>
    </row>
    <row r="478" spans="1:2">
      <c r="A478" s="32">
        <v>44515</v>
      </c>
      <c r="B478" s="33">
        <v>7.4999999999999997E-2</v>
      </c>
    </row>
    <row r="479" spans="1:2">
      <c r="A479" s="32">
        <v>44516</v>
      </c>
      <c r="B479" s="33">
        <v>7.4999999999999997E-2</v>
      </c>
    </row>
    <row r="480" spans="1:2">
      <c r="A480" s="32">
        <v>44517</v>
      </c>
      <c r="B480" s="33">
        <v>7.4999999999999997E-2</v>
      </c>
    </row>
    <row r="481" spans="1:2">
      <c r="A481" s="32">
        <v>44518</v>
      </c>
      <c r="B481" s="33">
        <v>7.4999999999999997E-2</v>
      </c>
    </row>
    <row r="482" spans="1:2">
      <c r="A482" s="32">
        <v>44519</v>
      </c>
      <c r="B482" s="33">
        <v>7.4999999999999997E-2</v>
      </c>
    </row>
    <row r="483" spans="1:2">
      <c r="A483" s="32">
        <v>44522</v>
      </c>
      <c r="B483" s="33">
        <v>7.4999999999999997E-2</v>
      </c>
    </row>
    <row r="484" spans="1:2">
      <c r="A484" s="32">
        <v>44523</v>
      </c>
      <c r="B484" s="33">
        <v>7.4999999999999997E-2</v>
      </c>
    </row>
    <row r="485" spans="1:2">
      <c r="A485" s="32">
        <v>44524</v>
      </c>
      <c r="B485" s="33">
        <v>7.4999999999999997E-2</v>
      </c>
    </row>
    <row r="486" spans="1:2">
      <c r="A486" s="32">
        <v>44525</v>
      </c>
      <c r="B486" s="33">
        <v>7.4999999999999997E-2</v>
      </c>
    </row>
    <row r="487" spans="1:2">
      <c r="A487" s="32">
        <v>44526</v>
      </c>
      <c r="B487" s="33">
        <v>7.4999999999999997E-2</v>
      </c>
    </row>
    <row r="488" spans="1:2">
      <c r="A488" s="32">
        <v>44529</v>
      </c>
      <c r="B488" s="33">
        <v>7.4999999999999997E-2</v>
      </c>
    </row>
    <row r="489" spans="1:2">
      <c r="A489" s="32">
        <v>44530</v>
      </c>
      <c r="B489" s="33">
        <v>7.4999999999999997E-2</v>
      </c>
    </row>
    <row r="490" spans="1:2">
      <c r="A490" s="32">
        <v>44531</v>
      </c>
      <c r="B490" s="33">
        <v>7.4999999999999997E-2</v>
      </c>
    </row>
    <row r="491" spans="1:2">
      <c r="A491" s="32">
        <v>44532</v>
      </c>
      <c r="B491" s="33">
        <v>7.4999999999999997E-2</v>
      </c>
    </row>
    <row r="492" spans="1:2">
      <c r="A492" s="32">
        <v>44533</v>
      </c>
      <c r="B492" s="33">
        <v>7.4999999999999997E-2</v>
      </c>
    </row>
    <row r="493" spans="1:2">
      <c r="A493" s="32">
        <v>44536</v>
      </c>
      <c r="B493" s="33">
        <v>7.4999999999999997E-2</v>
      </c>
    </row>
    <row r="494" spans="1:2">
      <c r="A494" s="32">
        <v>44537</v>
      </c>
      <c r="B494" s="33">
        <v>7.4999999999999997E-2</v>
      </c>
    </row>
    <row r="495" spans="1:2">
      <c r="A495" s="32">
        <v>44538</v>
      </c>
      <c r="B495" s="33">
        <v>7.4999999999999997E-2</v>
      </c>
    </row>
    <row r="496" spans="1:2">
      <c r="A496" s="32">
        <v>44539</v>
      </c>
      <c r="B496" s="33">
        <v>7.4999999999999997E-2</v>
      </c>
    </row>
    <row r="497" spans="1:2">
      <c r="A497" s="32">
        <v>44540</v>
      </c>
      <c r="B497" s="33">
        <v>7.4999999999999997E-2</v>
      </c>
    </row>
    <row r="498" spans="1:2">
      <c r="A498" s="32">
        <v>44543</v>
      </c>
      <c r="B498" s="33">
        <v>7.4999999999999997E-2</v>
      </c>
    </row>
    <row r="499" spans="1:2">
      <c r="A499" s="32">
        <v>44544</v>
      </c>
      <c r="B499" s="33">
        <v>7.4999999999999997E-2</v>
      </c>
    </row>
    <row r="500" spans="1:2">
      <c r="A500" s="32">
        <v>44545</v>
      </c>
      <c r="B500" s="33">
        <v>7.4999999999999997E-2</v>
      </c>
    </row>
    <row r="501" spans="1:2">
      <c r="A501" s="32">
        <v>44546</v>
      </c>
      <c r="B501" s="33">
        <v>7.4999999999999997E-2</v>
      </c>
    </row>
    <row r="502" spans="1:2">
      <c r="A502" s="32">
        <v>44547</v>
      </c>
      <c r="B502" s="33">
        <v>7.4999999999999997E-2</v>
      </c>
    </row>
    <row r="503" spans="1:2">
      <c r="A503" s="32">
        <v>44550</v>
      </c>
      <c r="B503" s="33">
        <v>8.5000000000000006E-2</v>
      </c>
    </row>
    <row r="504" spans="1:2">
      <c r="A504" s="32">
        <v>44551</v>
      </c>
      <c r="B504" s="33">
        <v>8.5000000000000006E-2</v>
      </c>
    </row>
    <row r="505" spans="1:2">
      <c r="A505" s="32">
        <v>44552</v>
      </c>
      <c r="B505" s="33">
        <v>8.5000000000000006E-2</v>
      </c>
    </row>
    <row r="506" spans="1:2">
      <c r="A506" s="32">
        <v>44553</v>
      </c>
      <c r="B506" s="33">
        <v>8.5000000000000006E-2</v>
      </c>
    </row>
    <row r="507" spans="1:2">
      <c r="A507" s="32">
        <v>44554</v>
      </c>
      <c r="B507" s="33">
        <v>8.5000000000000006E-2</v>
      </c>
    </row>
    <row r="508" spans="1:2">
      <c r="A508" s="32">
        <v>44557</v>
      </c>
      <c r="B508" s="33">
        <v>8.5000000000000006E-2</v>
      </c>
    </row>
    <row r="509" spans="1:2">
      <c r="A509" s="32">
        <v>44558</v>
      </c>
      <c r="B509" s="33">
        <v>8.5000000000000006E-2</v>
      </c>
    </row>
    <row r="510" spans="1:2">
      <c r="A510" s="32">
        <v>44559</v>
      </c>
      <c r="B510" s="33">
        <v>8.5000000000000006E-2</v>
      </c>
    </row>
    <row r="511" spans="1:2">
      <c r="A511" s="32">
        <v>44560</v>
      </c>
      <c r="B511" s="33">
        <v>8.5000000000000006E-2</v>
      </c>
    </row>
    <row r="512" spans="1:2">
      <c r="A512" s="32">
        <v>44564</v>
      </c>
      <c r="B512" s="33">
        <v>8.5000000000000006E-2</v>
      </c>
    </row>
    <row r="513" spans="1:2">
      <c r="A513" s="32">
        <v>44565</v>
      </c>
      <c r="B513" s="33">
        <v>8.5000000000000006E-2</v>
      </c>
    </row>
    <row r="514" spans="1:2">
      <c r="A514" s="32">
        <v>44566</v>
      </c>
      <c r="B514" s="33">
        <v>8.5000000000000006E-2</v>
      </c>
    </row>
    <row r="515" spans="1:2">
      <c r="A515" s="32">
        <v>44567</v>
      </c>
      <c r="B515" s="33">
        <v>8.5000000000000006E-2</v>
      </c>
    </row>
    <row r="516" spans="1:2">
      <c r="A516" s="32">
        <v>44571</v>
      </c>
      <c r="B516" s="33">
        <v>8.5000000000000006E-2</v>
      </c>
    </row>
    <row r="517" spans="1:2">
      <c r="A517" s="32">
        <v>44572</v>
      </c>
      <c r="B517" s="33">
        <v>8.5000000000000006E-2</v>
      </c>
    </row>
    <row r="518" spans="1:2">
      <c r="A518" s="32">
        <v>44573</v>
      </c>
      <c r="B518" s="33">
        <v>8.5000000000000006E-2</v>
      </c>
    </row>
    <row r="519" spans="1:2">
      <c r="A519" s="32">
        <v>44574</v>
      </c>
      <c r="B519" s="33">
        <v>8.5000000000000006E-2</v>
      </c>
    </row>
    <row r="520" spans="1:2">
      <c r="A520" s="32">
        <v>44575</v>
      </c>
      <c r="B520" s="33">
        <v>8.5000000000000006E-2</v>
      </c>
    </row>
    <row r="521" spans="1:2">
      <c r="A521" s="32">
        <v>44578</v>
      </c>
      <c r="B521" s="33">
        <v>8.5000000000000006E-2</v>
      </c>
    </row>
    <row r="522" spans="1:2">
      <c r="A522" s="32">
        <v>44579</v>
      </c>
      <c r="B522" s="33">
        <v>8.5000000000000006E-2</v>
      </c>
    </row>
    <row r="523" spans="1:2">
      <c r="A523" s="32">
        <v>44580</v>
      </c>
      <c r="B523" s="33">
        <v>8.5000000000000006E-2</v>
      </c>
    </row>
    <row r="524" spans="1:2">
      <c r="A524" s="32">
        <v>44581</v>
      </c>
      <c r="B524" s="33">
        <v>8.5000000000000006E-2</v>
      </c>
    </row>
    <row r="525" spans="1:2">
      <c r="A525" s="32">
        <v>44582</v>
      </c>
      <c r="B525" s="33">
        <v>8.5000000000000006E-2</v>
      </c>
    </row>
    <row r="526" spans="1:2">
      <c r="A526" s="32">
        <v>44585</v>
      </c>
      <c r="B526" s="33">
        <v>8.5000000000000006E-2</v>
      </c>
    </row>
    <row r="527" spans="1:2">
      <c r="A527" s="32">
        <v>44586</v>
      </c>
      <c r="B527" s="33">
        <v>8.5000000000000006E-2</v>
      </c>
    </row>
    <row r="528" spans="1:2">
      <c r="A528" s="32">
        <v>44587</v>
      </c>
      <c r="B528" s="33">
        <v>8.5000000000000006E-2</v>
      </c>
    </row>
    <row r="529" spans="1:2">
      <c r="A529" s="32">
        <v>44588</v>
      </c>
      <c r="B529" s="33">
        <v>8.5000000000000006E-2</v>
      </c>
    </row>
    <row r="530" spans="1:2">
      <c r="A530" s="32">
        <v>44589</v>
      </c>
      <c r="B530" s="33">
        <v>8.5000000000000006E-2</v>
      </c>
    </row>
    <row r="531" spans="1:2">
      <c r="A531" s="32">
        <v>44592</v>
      </c>
      <c r="B531" s="33">
        <v>8.5000000000000006E-2</v>
      </c>
    </row>
    <row r="532" spans="1:2">
      <c r="A532" s="32">
        <v>44593</v>
      </c>
      <c r="B532" s="33">
        <v>8.5000000000000006E-2</v>
      </c>
    </row>
    <row r="533" spans="1:2">
      <c r="A533" s="32">
        <v>44594</v>
      </c>
      <c r="B533" s="33">
        <v>8.5000000000000006E-2</v>
      </c>
    </row>
    <row r="534" spans="1:2">
      <c r="A534" s="32">
        <v>44595</v>
      </c>
      <c r="B534" s="33">
        <v>8.5000000000000006E-2</v>
      </c>
    </row>
    <row r="535" spans="1:2">
      <c r="A535" s="32">
        <v>44596</v>
      </c>
      <c r="B535" s="33">
        <v>8.5000000000000006E-2</v>
      </c>
    </row>
    <row r="536" spans="1:2">
      <c r="A536" s="32">
        <v>44599</v>
      </c>
      <c r="B536" s="33">
        <v>8.5000000000000006E-2</v>
      </c>
    </row>
    <row r="537" spans="1:2">
      <c r="A537" s="32">
        <v>44600</v>
      </c>
      <c r="B537" s="33">
        <v>8.5000000000000006E-2</v>
      </c>
    </row>
    <row r="538" spans="1:2">
      <c r="A538" s="32">
        <v>44601</v>
      </c>
      <c r="B538" s="33">
        <v>8.5000000000000006E-2</v>
      </c>
    </row>
    <row r="539" spans="1:2">
      <c r="A539" s="32">
        <v>44602</v>
      </c>
      <c r="B539" s="33">
        <v>8.5000000000000006E-2</v>
      </c>
    </row>
    <row r="540" spans="1:2">
      <c r="A540" s="32">
        <v>44603</v>
      </c>
      <c r="B540" s="33">
        <v>8.5000000000000006E-2</v>
      </c>
    </row>
    <row r="541" spans="1:2">
      <c r="A541" s="32">
        <v>44606</v>
      </c>
      <c r="B541" s="33">
        <v>9.5000000000000001E-2</v>
      </c>
    </row>
    <row r="542" spans="1:2">
      <c r="A542" s="32">
        <v>44607</v>
      </c>
      <c r="B542" s="33">
        <v>9.5000000000000001E-2</v>
      </c>
    </row>
    <row r="543" spans="1:2">
      <c r="A543" s="32">
        <v>44608</v>
      </c>
      <c r="B543" s="33">
        <v>9.5000000000000001E-2</v>
      </c>
    </row>
    <row r="544" spans="1:2">
      <c r="A544" s="32">
        <v>44609</v>
      </c>
      <c r="B544" s="33">
        <v>9.5000000000000001E-2</v>
      </c>
    </row>
    <row r="545" spans="1:2">
      <c r="A545" s="32">
        <v>44610</v>
      </c>
      <c r="B545" s="33">
        <v>9.5000000000000001E-2</v>
      </c>
    </row>
    <row r="546" spans="1:2">
      <c r="A546" s="32">
        <v>44613</v>
      </c>
      <c r="B546" s="33">
        <v>9.5000000000000001E-2</v>
      </c>
    </row>
    <row r="547" spans="1:2">
      <c r="A547" s="32">
        <v>44614</v>
      </c>
      <c r="B547" s="33">
        <v>9.5000000000000001E-2</v>
      </c>
    </row>
    <row r="548" spans="1:2">
      <c r="A548" s="32">
        <v>44615</v>
      </c>
      <c r="B548" s="33">
        <v>9.5000000000000001E-2</v>
      </c>
    </row>
    <row r="549" spans="1:2">
      <c r="A549" s="32">
        <v>44616</v>
      </c>
      <c r="B549" s="33">
        <v>9.5000000000000001E-2</v>
      </c>
    </row>
    <row r="550" spans="1:2">
      <c r="A550" s="32">
        <v>44617</v>
      </c>
      <c r="B550" s="33">
        <v>9.5000000000000001E-2</v>
      </c>
    </row>
    <row r="551" spans="1:2">
      <c r="A551" s="32">
        <v>44620</v>
      </c>
      <c r="B551" s="33">
        <v>0.2</v>
      </c>
    </row>
    <row r="552" spans="1:2">
      <c r="A552" s="32">
        <v>44621</v>
      </c>
      <c r="B552" s="33">
        <v>0.2</v>
      </c>
    </row>
    <row r="553" spans="1:2">
      <c r="A553" s="32">
        <v>44622</v>
      </c>
      <c r="B553" s="33">
        <v>0.2</v>
      </c>
    </row>
    <row r="554" spans="1:2">
      <c r="A554" s="32">
        <v>44623</v>
      </c>
      <c r="B554" s="33">
        <v>0.2</v>
      </c>
    </row>
    <row r="555" spans="1:2">
      <c r="A555" s="32">
        <v>44624</v>
      </c>
      <c r="B555" s="33">
        <v>0.2</v>
      </c>
    </row>
    <row r="556" spans="1:2">
      <c r="A556" s="32">
        <v>44625</v>
      </c>
      <c r="B556" s="33">
        <v>0.2</v>
      </c>
    </row>
    <row r="557" spans="1:2">
      <c r="A557" s="32">
        <v>44629</v>
      </c>
      <c r="B557" s="33">
        <v>0.2</v>
      </c>
    </row>
    <row r="558" spans="1:2">
      <c r="A558" s="32">
        <v>44630</v>
      </c>
      <c r="B558" s="33">
        <v>0.2</v>
      </c>
    </row>
    <row r="559" spans="1:2">
      <c r="A559" s="32">
        <v>44631</v>
      </c>
      <c r="B559" s="33">
        <v>0.2</v>
      </c>
    </row>
    <row r="560" spans="1:2">
      <c r="A560" s="32">
        <v>44634</v>
      </c>
      <c r="B560" s="33">
        <v>0.2</v>
      </c>
    </row>
    <row r="561" spans="1:2">
      <c r="A561" s="32">
        <v>44635</v>
      </c>
      <c r="B561" s="33">
        <v>0.2</v>
      </c>
    </row>
    <row r="562" spans="1:2">
      <c r="A562" s="32">
        <v>44636</v>
      </c>
      <c r="B562" s="33">
        <v>0.2</v>
      </c>
    </row>
    <row r="563" spans="1:2">
      <c r="A563" s="32">
        <v>44637</v>
      </c>
      <c r="B563" s="33">
        <v>0.2</v>
      </c>
    </row>
    <row r="564" spans="1:2">
      <c r="A564" s="32">
        <v>44638</v>
      </c>
      <c r="B564" s="33">
        <v>0.2</v>
      </c>
    </row>
    <row r="565" spans="1:2">
      <c r="A565" s="32">
        <v>44641</v>
      </c>
      <c r="B565" s="33">
        <v>0.2</v>
      </c>
    </row>
    <row r="566" spans="1:2">
      <c r="A566" s="32">
        <v>44642</v>
      </c>
      <c r="B566" s="33">
        <v>0.2</v>
      </c>
    </row>
    <row r="567" spans="1:2">
      <c r="A567" s="32">
        <v>44643</v>
      </c>
      <c r="B567" s="33">
        <v>0.2</v>
      </c>
    </row>
    <row r="568" spans="1:2">
      <c r="A568" s="32">
        <v>44644</v>
      </c>
      <c r="B568" s="33">
        <v>0.2</v>
      </c>
    </row>
    <row r="569" spans="1:2">
      <c r="A569" s="32">
        <v>44645</v>
      </c>
      <c r="B569" s="33">
        <v>0.2</v>
      </c>
    </row>
    <row r="570" spans="1:2">
      <c r="A570" s="32">
        <v>44648</v>
      </c>
      <c r="B570" s="33">
        <v>0.2</v>
      </c>
    </row>
    <row r="571" spans="1:2">
      <c r="A571" s="32">
        <v>44649</v>
      </c>
      <c r="B571" s="33">
        <v>0.2</v>
      </c>
    </row>
    <row r="572" spans="1:2">
      <c r="A572" s="32">
        <v>44650</v>
      </c>
      <c r="B572" s="33">
        <v>0.2</v>
      </c>
    </row>
    <row r="573" spans="1:2">
      <c r="A573" s="32">
        <v>44651</v>
      </c>
      <c r="B573" s="33">
        <v>0.2</v>
      </c>
    </row>
    <row r="574" spans="1:2">
      <c r="A574" s="32">
        <v>44652</v>
      </c>
      <c r="B574" s="33">
        <v>0.2</v>
      </c>
    </row>
    <row r="575" spans="1:2">
      <c r="A575" s="32">
        <v>44655</v>
      </c>
      <c r="B575" s="33">
        <v>0.2</v>
      </c>
    </row>
    <row r="576" spans="1:2">
      <c r="A576" s="32">
        <v>44656</v>
      </c>
      <c r="B576" s="33">
        <v>0.2</v>
      </c>
    </row>
    <row r="577" spans="1:2">
      <c r="A577" s="32">
        <v>44657</v>
      </c>
      <c r="B577" s="33">
        <v>0.2</v>
      </c>
    </row>
    <row r="578" spans="1:2">
      <c r="A578" s="32">
        <v>44658</v>
      </c>
      <c r="B578" s="33">
        <v>0.2</v>
      </c>
    </row>
    <row r="579" spans="1:2">
      <c r="A579" s="32">
        <v>44659</v>
      </c>
      <c r="B579" s="33">
        <v>0.2</v>
      </c>
    </row>
    <row r="580" spans="1:2">
      <c r="A580" s="32">
        <v>44662</v>
      </c>
      <c r="B580" s="33">
        <v>0.17</v>
      </c>
    </row>
    <row r="581" spans="1:2">
      <c r="A581" s="32">
        <v>44663</v>
      </c>
      <c r="B581" s="33">
        <v>0.17</v>
      </c>
    </row>
    <row r="582" spans="1:2">
      <c r="A582" s="32">
        <v>44664</v>
      </c>
      <c r="B582" s="33">
        <v>0.17</v>
      </c>
    </row>
    <row r="583" spans="1:2">
      <c r="A583" s="32">
        <v>44665</v>
      </c>
      <c r="B583" s="33">
        <v>0.17</v>
      </c>
    </row>
    <row r="584" spans="1:2">
      <c r="A584" s="32">
        <v>44666</v>
      </c>
      <c r="B584" s="33">
        <v>0.17</v>
      </c>
    </row>
    <row r="585" spans="1:2">
      <c r="A585" s="32">
        <v>44669</v>
      </c>
      <c r="B585" s="33">
        <v>0.17</v>
      </c>
    </row>
    <row r="586" spans="1:2">
      <c r="A586" s="32">
        <v>44670</v>
      </c>
      <c r="B586" s="33">
        <v>0.17</v>
      </c>
    </row>
    <row r="587" spans="1:2">
      <c r="A587" s="32">
        <v>44671</v>
      </c>
      <c r="B587" s="33">
        <v>0.17</v>
      </c>
    </row>
    <row r="588" spans="1:2">
      <c r="A588" s="32">
        <v>44672</v>
      </c>
      <c r="B588" s="33">
        <v>0.17</v>
      </c>
    </row>
    <row r="589" spans="1:2">
      <c r="A589" s="32">
        <v>44673</v>
      </c>
      <c r="B589" s="33">
        <v>0.17</v>
      </c>
    </row>
    <row r="590" spans="1:2">
      <c r="A590" s="32">
        <v>44676</v>
      </c>
      <c r="B590" s="33">
        <v>0.17</v>
      </c>
    </row>
    <row r="591" spans="1:2">
      <c r="A591" s="32">
        <v>44677</v>
      </c>
      <c r="B591" s="33">
        <v>0.17</v>
      </c>
    </row>
    <row r="592" spans="1:2">
      <c r="A592" s="32">
        <v>44678</v>
      </c>
      <c r="B592" s="33">
        <v>0.17</v>
      </c>
    </row>
    <row r="593" spans="1:2">
      <c r="A593" s="32">
        <v>44679</v>
      </c>
      <c r="B593" s="33">
        <v>0.17</v>
      </c>
    </row>
    <row r="594" spans="1:2">
      <c r="A594" s="32">
        <v>44680</v>
      </c>
      <c r="B594" s="33">
        <v>0.17</v>
      </c>
    </row>
    <row r="595" spans="1:2">
      <c r="A595" s="32">
        <v>44685</v>
      </c>
      <c r="B595" s="33">
        <v>0.14000000000000001</v>
      </c>
    </row>
    <row r="596" spans="1:2">
      <c r="A596" s="32">
        <v>44686</v>
      </c>
      <c r="B596" s="33">
        <v>0.14000000000000001</v>
      </c>
    </row>
    <row r="597" spans="1:2">
      <c r="A597" s="32">
        <v>44687</v>
      </c>
      <c r="B597" s="33">
        <v>0.14000000000000001</v>
      </c>
    </row>
    <row r="598" spans="1:2">
      <c r="A598" s="32">
        <v>44692</v>
      </c>
      <c r="B598" s="33">
        <v>0.14000000000000001</v>
      </c>
    </row>
    <row r="599" spans="1:2">
      <c r="A599" s="32">
        <v>44693</v>
      </c>
      <c r="B599" s="33">
        <v>0.14000000000000001</v>
      </c>
    </row>
    <row r="600" spans="1:2">
      <c r="A600" s="32">
        <v>44694</v>
      </c>
      <c r="B600" s="33">
        <v>0.14000000000000001</v>
      </c>
    </row>
    <row r="601" spans="1:2">
      <c r="A601" s="32">
        <v>44697</v>
      </c>
      <c r="B601" s="33">
        <v>0.14000000000000001</v>
      </c>
    </row>
    <row r="602" spans="1:2">
      <c r="A602" s="32">
        <v>44698</v>
      </c>
      <c r="B602" s="33">
        <v>0.14000000000000001</v>
      </c>
    </row>
    <row r="603" spans="1:2">
      <c r="A603" s="32">
        <v>44699</v>
      </c>
      <c r="B603" s="33">
        <v>0.14000000000000001</v>
      </c>
    </row>
    <row r="604" spans="1:2">
      <c r="A604" s="32">
        <v>44700</v>
      </c>
      <c r="B604" s="33">
        <v>0.14000000000000001</v>
      </c>
    </row>
    <row r="605" spans="1:2">
      <c r="A605" s="32">
        <v>44701</v>
      </c>
      <c r="B605" s="33">
        <v>0.14000000000000001</v>
      </c>
    </row>
    <row r="606" spans="1:2">
      <c r="A606" s="32">
        <v>44704</v>
      </c>
      <c r="B606" s="33">
        <v>0.14000000000000001</v>
      </c>
    </row>
    <row r="607" spans="1:2">
      <c r="A607" s="32">
        <v>44705</v>
      </c>
      <c r="B607" s="33">
        <v>0.14000000000000001</v>
      </c>
    </row>
    <row r="608" spans="1:2">
      <c r="A608" s="32">
        <v>44706</v>
      </c>
      <c r="B608" s="33">
        <v>0.14000000000000001</v>
      </c>
    </row>
    <row r="609" spans="1:2">
      <c r="A609" s="32">
        <v>44707</v>
      </c>
      <c r="B609" s="33">
        <v>0.14000000000000001</v>
      </c>
    </row>
    <row r="610" spans="1:2">
      <c r="A610" s="32">
        <v>44708</v>
      </c>
      <c r="B610" s="33">
        <v>0.11</v>
      </c>
    </row>
    <row r="611" spans="1:2">
      <c r="A611" s="32">
        <v>44711</v>
      </c>
      <c r="B611" s="33">
        <v>0.11</v>
      </c>
    </row>
    <row r="612" spans="1:2">
      <c r="A612" s="32">
        <v>44712</v>
      </c>
      <c r="B612" s="33">
        <v>0.11</v>
      </c>
    </row>
    <row r="613" spans="1:2">
      <c r="A613" s="32">
        <v>44713</v>
      </c>
      <c r="B613" s="33">
        <v>0.11</v>
      </c>
    </row>
    <row r="614" spans="1:2">
      <c r="A614" s="32">
        <v>44714</v>
      </c>
      <c r="B614" s="33">
        <v>0.11</v>
      </c>
    </row>
    <row r="615" spans="1:2">
      <c r="A615" s="32">
        <v>44715</v>
      </c>
      <c r="B615" s="33">
        <v>0.11</v>
      </c>
    </row>
    <row r="616" spans="1:2">
      <c r="A616" s="32">
        <v>44718</v>
      </c>
      <c r="B616" s="33">
        <v>0.11</v>
      </c>
    </row>
    <row r="617" spans="1:2">
      <c r="A617" s="32">
        <v>44719</v>
      </c>
      <c r="B617" s="33">
        <v>0.11</v>
      </c>
    </row>
    <row r="618" spans="1:2">
      <c r="A618" s="32">
        <v>44720</v>
      </c>
      <c r="B618" s="33">
        <v>0.11</v>
      </c>
    </row>
    <row r="619" spans="1:2">
      <c r="A619" s="32">
        <v>44721</v>
      </c>
      <c r="B619" s="33">
        <v>0.11</v>
      </c>
    </row>
    <row r="620" spans="1:2">
      <c r="A620" s="32">
        <v>44722</v>
      </c>
      <c r="B620" s="33">
        <v>0.11</v>
      </c>
    </row>
    <row r="621" spans="1:2">
      <c r="A621" s="32">
        <v>44726</v>
      </c>
      <c r="B621" s="33">
        <v>9.5000000000000001E-2</v>
      </c>
    </row>
    <row r="622" spans="1:2">
      <c r="A622" s="32">
        <v>44727</v>
      </c>
      <c r="B622" s="33">
        <v>9.5000000000000001E-2</v>
      </c>
    </row>
    <row r="623" spans="1:2">
      <c r="A623" s="32">
        <v>44728</v>
      </c>
      <c r="B623" s="33">
        <v>9.5000000000000001E-2</v>
      </c>
    </row>
    <row r="624" spans="1:2">
      <c r="A624" s="32">
        <v>44729</v>
      </c>
      <c r="B624" s="33">
        <v>9.5000000000000001E-2</v>
      </c>
    </row>
    <row r="625" spans="1:2">
      <c r="A625" s="32">
        <v>44732</v>
      </c>
      <c r="B625" s="33">
        <v>9.5000000000000001E-2</v>
      </c>
    </row>
    <row r="626" spans="1:2">
      <c r="A626" s="32">
        <v>44733</v>
      </c>
      <c r="B626" s="33">
        <v>9.5000000000000001E-2</v>
      </c>
    </row>
    <row r="627" spans="1:2">
      <c r="A627" s="32">
        <v>44734</v>
      </c>
      <c r="B627" s="33">
        <v>9.5000000000000001E-2</v>
      </c>
    </row>
    <row r="628" spans="1:2">
      <c r="A628" s="32">
        <v>44735</v>
      </c>
      <c r="B628" s="33">
        <v>9.5000000000000001E-2</v>
      </c>
    </row>
    <row r="629" spans="1:2">
      <c r="A629" s="32">
        <v>44736</v>
      </c>
      <c r="B629" s="33">
        <v>9.5000000000000001E-2</v>
      </c>
    </row>
    <row r="630" spans="1:2">
      <c r="A630" s="32">
        <v>44739</v>
      </c>
      <c r="B630" s="33">
        <v>9.5000000000000001E-2</v>
      </c>
    </row>
    <row r="631" spans="1:2">
      <c r="A631" s="32">
        <v>44740</v>
      </c>
      <c r="B631" s="33">
        <v>9.5000000000000001E-2</v>
      </c>
    </row>
    <row r="632" spans="1:2">
      <c r="A632" s="32">
        <v>44741</v>
      </c>
      <c r="B632" s="33">
        <v>9.5000000000000001E-2</v>
      </c>
    </row>
    <row r="633" spans="1:2">
      <c r="A633" s="32">
        <v>44742</v>
      </c>
      <c r="B633" s="33">
        <v>9.5000000000000001E-2</v>
      </c>
    </row>
    <row r="634" spans="1:2">
      <c r="A634" s="32">
        <v>44743</v>
      </c>
      <c r="B634" s="33">
        <v>9.5000000000000001E-2</v>
      </c>
    </row>
    <row r="635" spans="1:2">
      <c r="A635" s="32">
        <v>44746</v>
      </c>
      <c r="B635" s="33">
        <v>9.5000000000000001E-2</v>
      </c>
    </row>
    <row r="636" spans="1:2">
      <c r="A636" s="32">
        <v>44747</v>
      </c>
      <c r="B636" s="33">
        <v>9.5000000000000001E-2</v>
      </c>
    </row>
    <row r="637" spans="1:2">
      <c r="A637" s="32">
        <v>44748</v>
      </c>
      <c r="B637" s="33">
        <v>9.5000000000000001E-2</v>
      </c>
    </row>
    <row r="638" spans="1:2">
      <c r="A638" s="32">
        <v>44749</v>
      </c>
      <c r="B638" s="33">
        <v>9.5000000000000001E-2</v>
      </c>
    </row>
    <row r="639" spans="1:2">
      <c r="A639" s="32">
        <v>44750</v>
      </c>
      <c r="B639" s="33">
        <v>9.5000000000000001E-2</v>
      </c>
    </row>
    <row r="640" spans="1:2">
      <c r="A640" s="32">
        <v>44753</v>
      </c>
      <c r="B640" s="33">
        <v>9.5000000000000001E-2</v>
      </c>
    </row>
    <row r="641" spans="1:2">
      <c r="A641" s="32">
        <v>44754</v>
      </c>
      <c r="B641" s="33">
        <v>9.5000000000000001E-2</v>
      </c>
    </row>
    <row r="642" spans="1:2">
      <c r="A642" s="32">
        <v>44755</v>
      </c>
      <c r="B642" s="33">
        <v>9.5000000000000001E-2</v>
      </c>
    </row>
    <row r="643" spans="1:2">
      <c r="A643" s="32">
        <v>44756</v>
      </c>
      <c r="B643" s="33">
        <v>9.5000000000000001E-2</v>
      </c>
    </row>
    <row r="644" spans="1:2">
      <c r="A644" s="32">
        <v>44757</v>
      </c>
      <c r="B644" s="33">
        <v>9.5000000000000001E-2</v>
      </c>
    </row>
    <row r="645" spans="1:2">
      <c r="A645" s="32">
        <v>44760</v>
      </c>
      <c r="B645" s="33">
        <v>9.5000000000000001E-2</v>
      </c>
    </row>
    <row r="646" spans="1:2">
      <c r="A646" s="32">
        <v>44761</v>
      </c>
      <c r="B646" s="33">
        <v>9.5000000000000001E-2</v>
      </c>
    </row>
    <row r="647" spans="1:2">
      <c r="A647" s="32">
        <v>44762</v>
      </c>
      <c r="B647" s="33">
        <v>9.5000000000000001E-2</v>
      </c>
    </row>
    <row r="648" spans="1:2">
      <c r="A648" s="32">
        <v>44763</v>
      </c>
      <c r="B648" s="33">
        <v>9.5000000000000001E-2</v>
      </c>
    </row>
    <row r="649" spans="1:2">
      <c r="A649" s="32">
        <v>44764</v>
      </c>
      <c r="B649" s="33">
        <v>9.5000000000000001E-2</v>
      </c>
    </row>
    <row r="650" spans="1:2">
      <c r="A650" s="32">
        <v>44767</v>
      </c>
      <c r="B650" s="33">
        <v>0.08</v>
      </c>
    </row>
    <row r="651" spans="1:2">
      <c r="A651" s="32">
        <v>44768</v>
      </c>
      <c r="B651" s="33">
        <v>0.08</v>
      </c>
    </row>
    <row r="652" spans="1:2">
      <c r="A652" s="32">
        <v>44769</v>
      </c>
      <c r="B652" s="33">
        <v>0.08</v>
      </c>
    </row>
    <row r="653" spans="1:2">
      <c r="A653" s="32">
        <v>44770</v>
      </c>
      <c r="B653" s="33">
        <v>0.08</v>
      </c>
    </row>
    <row r="654" spans="1:2">
      <c r="A654" s="32">
        <v>44771</v>
      </c>
      <c r="B654" s="33">
        <v>0.08</v>
      </c>
    </row>
    <row r="655" spans="1:2">
      <c r="A655" s="32">
        <v>44774</v>
      </c>
      <c r="B655" s="33">
        <v>0.08</v>
      </c>
    </row>
    <row r="656" spans="1:2">
      <c r="A656" s="32">
        <v>44775</v>
      </c>
      <c r="B656" s="33">
        <v>0.08</v>
      </c>
    </row>
    <row r="657" spans="1:2">
      <c r="A657" s="32">
        <v>44776</v>
      </c>
      <c r="B657" s="33">
        <v>0.08</v>
      </c>
    </row>
    <row r="658" spans="1:2">
      <c r="A658" s="32">
        <v>44777</v>
      </c>
      <c r="B658" s="33">
        <v>0.08</v>
      </c>
    </row>
    <row r="659" spans="1:2">
      <c r="A659" s="32">
        <v>44778</v>
      </c>
      <c r="B659" s="33">
        <v>0.08</v>
      </c>
    </row>
    <row r="660" spans="1:2">
      <c r="A660" s="32">
        <v>44781</v>
      </c>
      <c r="B660" s="33">
        <v>0.08</v>
      </c>
    </row>
    <row r="661" spans="1:2">
      <c r="A661" s="32">
        <v>44782</v>
      </c>
      <c r="B661" s="33">
        <v>0.08</v>
      </c>
    </row>
    <row r="662" spans="1:2">
      <c r="A662" s="32">
        <v>44783</v>
      </c>
      <c r="B662" s="33">
        <v>0.08</v>
      </c>
    </row>
    <row r="663" spans="1:2">
      <c r="A663" s="32">
        <v>44784</v>
      </c>
      <c r="B663" s="33">
        <v>0.08</v>
      </c>
    </row>
    <row r="664" spans="1:2">
      <c r="A664" s="32">
        <v>44785</v>
      </c>
      <c r="B664" s="33">
        <v>0.08</v>
      </c>
    </row>
    <row r="665" spans="1:2">
      <c r="A665" s="32">
        <v>44788</v>
      </c>
      <c r="B665" s="33">
        <v>0.08</v>
      </c>
    </row>
    <row r="666" spans="1:2">
      <c r="A666" s="32">
        <v>44789</v>
      </c>
      <c r="B666" s="33">
        <v>0.08</v>
      </c>
    </row>
    <row r="667" spans="1:2">
      <c r="A667" s="32">
        <v>44790</v>
      </c>
      <c r="B667" s="33">
        <v>0.08</v>
      </c>
    </row>
    <row r="668" spans="1:2">
      <c r="A668" s="32">
        <v>44791</v>
      </c>
      <c r="B668" s="33">
        <v>0.08</v>
      </c>
    </row>
    <row r="669" spans="1:2">
      <c r="A669" s="32">
        <v>44792</v>
      </c>
      <c r="B669" s="33">
        <v>0.08</v>
      </c>
    </row>
    <row r="670" spans="1:2">
      <c r="A670" s="32">
        <v>44795</v>
      </c>
      <c r="B670" s="33">
        <v>0.08</v>
      </c>
    </row>
    <row r="671" spans="1:2">
      <c r="A671" s="32">
        <v>44796</v>
      </c>
      <c r="B671" s="33">
        <v>0.08</v>
      </c>
    </row>
    <row r="672" spans="1:2">
      <c r="A672" s="32">
        <v>44797</v>
      </c>
      <c r="B672" s="33">
        <v>0.08</v>
      </c>
    </row>
    <row r="673" spans="1:2">
      <c r="A673" s="32">
        <v>44798</v>
      </c>
      <c r="B673" s="33">
        <v>0.08</v>
      </c>
    </row>
    <row r="674" spans="1:2">
      <c r="A674" s="32">
        <v>44799</v>
      </c>
      <c r="B674" s="33">
        <v>0.08</v>
      </c>
    </row>
    <row r="675" spans="1:2">
      <c r="A675" s="32">
        <v>44802</v>
      </c>
      <c r="B675" s="33">
        <v>0.08</v>
      </c>
    </row>
    <row r="676" spans="1:2">
      <c r="A676" s="32">
        <v>44803</v>
      </c>
      <c r="B676" s="33">
        <v>0.08</v>
      </c>
    </row>
    <row r="677" spans="1:2">
      <c r="A677" s="32">
        <v>44804</v>
      </c>
      <c r="B677" s="33">
        <v>0.08</v>
      </c>
    </row>
    <row r="678" spans="1:2">
      <c r="A678" s="32">
        <v>44805</v>
      </c>
      <c r="B678" s="33">
        <v>0.08</v>
      </c>
    </row>
    <row r="679" spans="1:2">
      <c r="A679" s="32">
        <v>44806</v>
      </c>
      <c r="B679" s="33">
        <v>0.08</v>
      </c>
    </row>
    <row r="680" spans="1:2">
      <c r="A680" s="32">
        <v>44809</v>
      </c>
      <c r="B680" s="33">
        <v>0.08</v>
      </c>
    </row>
    <row r="681" spans="1:2">
      <c r="A681" s="32">
        <v>44810</v>
      </c>
      <c r="B681" s="33">
        <v>0.08</v>
      </c>
    </row>
    <row r="682" spans="1:2">
      <c r="A682" s="32">
        <v>44811</v>
      </c>
      <c r="B682" s="33">
        <v>0.08</v>
      </c>
    </row>
    <row r="683" spans="1:2">
      <c r="A683" s="32">
        <v>44812</v>
      </c>
      <c r="B683" s="33">
        <v>0.08</v>
      </c>
    </row>
    <row r="684" spans="1:2">
      <c r="A684" s="32">
        <v>44813</v>
      </c>
      <c r="B684" s="33">
        <v>0.08</v>
      </c>
    </row>
    <row r="685" spans="1:2">
      <c r="A685" s="32">
        <v>44816</v>
      </c>
      <c r="B685" s="33">
        <v>0.08</v>
      </c>
    </row>
    <row r="686" spans="1:2">
      <c r="A686" s="32">
        <v>44817</v>
      </c>
      <c r="B686" s="33">
        <v>0.08</v>
      </c>
    </row>
    <row r="687" spans="1:2">
      <c r="A687" s="32">
        <v>44818</v>
      </c>
      <c r="B687" s="33">
        <v>0.08</v>
      </c>
    </row>
    <row r="688" spans="1:2">
      <c r="A688" s="32">
        <v>44819</v>
      </c>
      <c r="B688" s="33">
        <v>0.08</v>
      </c>
    </row>
    <row r="689" spans="1:2">
      <c r="A689" s="32">
        <v>44820</v>
      </c>
      <c r="B689" s="33">
        <v>0.08</v>
      </c>
    </row>
    <row r="690" spans="1:2">
      <c r="A690" s="32">
        <v>44823</v>
      </c>
      <c r="B690" s="33">
        <v>7.4999999999999997E-2</v>
      </c>
    </row>
    <row r="691" spans="1:2">
      <c r="A691" s="32">
        <v>44824</v>
      </c>
      <c r="B691" s="33">
        <v>7.4999999999999997E-2</v>
      </c>
    </row>
    <row r="692" spans="1:2">
      <c r="A692" s="32">
        <v>44825</v>
      </c>
      <c r="B692" s="33">
        <v>7.4999999999999997E-2</v>
      </c>
    </row>
    <row r="693" spans="1:2">
      <c r="A693" s="32">
        <v>44826</v>
      </c>
      <c r="B693" s="33">
        <v>7.4999999999999997E-2</v>
      </c>
    </row>
    <row r="694" spans="1:2">
      <c r="A694" s="32">
        <v>44827</v>
      </c>
      <c r="B694" s="33">
        <v>7.4999999999999997E-2</v>
      </c>
    </row>
    <row r="695" spans="1:2">
      <c r="A695" s="32">
        <v>44830</v>
      </c>
      <c r="B695" s="33">
        <v>7.4999999999999997E-2</v>
      </c>
    </row>
    <row r="696" spans="1:2">
      <c r="A696" s="32">
        <v>44831</v>
      </c>
      <c r="B696" s="33">
        <v>7.4999999999999997E-2</v>
      </c>
    </row>
    <row r="697" spans="1:2">
      <c r="A697" s="32">
        <v>44832</v>
      </c>
      <c r="B697" s="33">
        <v>7.4999999999999997E-2</v>
      </c>
    </row>
    <row r="698" spans="1:2">
      <c r="A698" s="32">
        <v>44833</v>
      </c>
      <c r="B698" s="33">
        <v>7.4999999999999997E-2</v>
      </c>
    </row>
    <row r="699" spans="1:2">
      <c r="A699" s="32">
        <v>44834</v>
      </c>
      <c r="B699" s="33">
        <v>7.4999999999999997E-2</v>
      </c>
    </row>
    <row r="700" spans="1:2">
      <c r="A700" s="32">
        <v>44837</v>
      </c>
      <c r="B700" s="33">
        <v>7.4999999999999997E-2</v>
      </c>
    </row>
    <row r="701" spans="1:2">
      <c r="A701" s="32">
        <v>44838</v>
      </c>
      <c r="B701" s="33">
        <v>7.4999999999999997E-2</v>
      </c>
    </row>
    <row r="702" spans="1:2">
      <c r="A702" s="32">
        <v>44839</v>
      </c>
      <c r="B702" s="33">
        <v>7.4999999999999997E-2</v>
      </c>
    </row>
    <row r="703" spans="1:2">
      <c r="A703" s="32">
        <v>44840</v>
      </c>
      <c r="B703" s="33">
        <v>7.4999999999999997E-2</v>
      </c>
    </row>
    <row r="704" spans="1:2">
      <c r="A704" s="32">
        <v>44841</v>
      </c>
      <c r="B704" s="33">
        <v>7.4999999999999997E-2</v>
      </c>
    </row>
    <row r="705" spans="1:2">
      <c r="A705" s="32">
        <v>44844</v>
      </c>
      <c r="B705" s="33">
        <v>7.4999999999999997E-2</v>
      </c>
    </row>
    <row r="706" spans="1:2">
      <c r="A706" s="32">
        <v>44845</v>
      </c>
      <c r="B706" s="33">
        <v>7.4999999999999997E-2</v>
      </c>
    </row>
    <row r="707" spans="1:2">
      <c r="A707" s="32">
        <v>44846</v>
      </c>
      <c r="B707" s="33">
        <v>7.4999999999999997E-2</v>
      </c>
    </row>
    <row r="708" spans="1:2">
      <c r="A708" s="32">
        <v>44847</v>
      </c>
      <c r="B708" s="33">
        <v>7.4999999999999997E-2</v>
      </c>
    </row>
    <row r="709" spans="1:2">
      <c r="A709" s="32">
        <v>44848</v>
      </c>
      <c r="B709" s="33">
        <v>7.4999999999999997E-2</v>
      </c>
    </row>
    <row r="710" spans="1:2">
      <c r="A710" s="32">
        <v>44851</v>
      </c>
      <c r="B710" s="33">
        <v>7.4999999999999997E-2</v>
      </c>
    </row>
    <row r="711" spans="1:2">
      <c r="A711" s="32">
        <v>44852</v>
      </c>
      <c r="B711" s="33">
        <v>7.4999999999999997E-2</v>
      </c>
    </row>
    <row r="712" spans="1:2">
      <c r="A712" s="32">
        <v>44853</v>
      </c>
      <c r="B712" s="33">
        <v>7.4999999999999997E-2</v>
      </c>
    </row>
    <row r="713" spans="1:2">
      <c r="A713" s="32">
        <v>44854</v>
      </c>
      <c r="B713" s="33">
        <v>7.4999999999999997E-2</v>
      </c>
    </row>
    <row r="714" spans="1:2">
      <c r="A714" s="32">
        <v>44855</v>
      </c>
      <c r="B714" s="33">
        <v>7.4999999999999997E-2</v>
      </c>
    </row>
    <row r="715" spans="1:2">
      <c r="A715" s="32">
        <v>44858</v>
      </c>
      <c r="B715" s="33">
        <v>7.4999999999999997E-2</v>
      </c>
    </row>
    <row r="716" spans="1:2">
      <c r="A716" s="32">
        <v>44859</v>
      </c>
      <c r="B716" s="33">
        <v>7.4999999999999997E-2</v>
      </c>
    </row>
    <row r="717" spans="1:2">
      <c r="A717" s="32">
        <v>44860</v>
      </c>
      <c r="B717" s="33">
        <v>7.4999999999999997E-2</v>
      </c>
    </row>
    <row r="718" spans="1:2">
      <c r="A718" s="32">
        <v>44861</v>
      </c>
      <c r="B718" s="33">
        <v>7.4999999999999997E-2</v>
      </c>
    </row>
    <row r="719" spans="1:2">
      <c r="A719" s="32">
        <v>44862</v>
      </c>
      <c r="B719" s="33">
        <v>7.4999999999999997E-2</v>
      </c>
    </row>
    <row r="720" spans="1:2">
      <c r="A720" s="32">
        <v>44865</v>
      </c>
      <c r="B720" s="33">
        <v>7.4999999999999997E-2</v>
      </c>
    </row>
    <row r="721" spans="1:2">
      <c r="A721" s="32">
        <v>44866</v>
      </c>
      <c r="B721" s="33">
        <v>7.4999999999999997E-2</v>
      </c>
    </row>
    <row r="722" spans="1:2">
      <c r="A722" s="32">
        <v>44867</v>
      </c>
      <c r="B722" s="33">
        <v>7.4999999999999997E-2</v>
      </c>
    </row>
    <row r="723" spans="1:2">
      <c r="A723" s="32">
        <v>44868</v>
      </c>
      <c r="B723" s="33">
        <v>7.4999999999999997E-2</v>
      </c>
    </row>
    <row r="724" spans="1:2">
      <c r="A724" s="32">
        <v>44872</v>
      </c>
      <c r="B724" s="33">
        <v>7.4999999999999997E-2</v>
      </c>
    </row>
    <row r="725" spans="1:2">
      <c r="A725" s="32">
        <v>44873</v>
      </c>
      <c r="B725" s="33">
        <v>7.4999999999999997E-2</v>
      </c>
    </row>
    <row r="726" spans="1:2">
      <c r="A726" s="32">
        <v>44874</v>
      </c>
      <c r="B726" s="33">
        <v>7.4999999999999997E-2</v>
      </c>
    </row>
    <row r="727" spans="1:2">
      <c r="A727" s="32">
        <v>44875</v>
      </c>
      <c r="B727" s="33">
        <v>7.4999999999999997E-2</v>
      </c>
    </row>
    <row r="728" spans="1:2">
      <c r="A728" s="32">
        <v>44876</v>
      </c>
      <c r="B728" s="33">
        <v>7.4999999999999997E-2</v>
      </c>
    </row>
    <row r="729" spans="1:2">
      <c r="A729" s="32">
        <v>44879</v>
      </c>
      <c r="B729" s="33">
        <v>7.4999999999999997E-2</v>
      </c>
    </row>
    <row r="730" spans="1:2">
      <c r="A730" s="32">
        <v>44880</v>
      </c>
      <c r="B730" s="33">
        <v>7.4999999999999997E-2</v>
      </c>
    </row>
    <row r="731" spans="1:2">
      <c r="A731" s="32">
        <v>44881</v>
      </c>
      <c r="B731" s="33">
        <v>7.4999999999999997E-2</v>
      </c>
    </row>
    <row r="732" spans="1:2">
      <c r="A732" s="32">
        <v>44882</v>
      </c>
      <c r="B732" s="33">
        <v>7.4999999999999997E-2</v>
      </c>
    </row>
    <row r="733" spans="1:2">
      <c r="A733" s="32">
        <v>44883</v>
      </c>
      <c r="B733" s="33">
        <v>7.4999999999999997E-2</v>
      </c>
    </row>
    <row r="734" spans="1:2">
      <c r="A734" s="32">
        <v>44886</v>
      </c>
      <c r="B734" s="33">
        <v>7.4999999999999997E-2</v>
      </c>
    </row>
    <row r="735" spans="1:2">
      <c r="A735" s="32">
        <v>44887</v>
      </c>
      <c r="B735" s="33">
        <v>7.4999999999999997E-2</v>
      </c>
    </row>
    <row r="736" spans="1:2">
      <c r="A736" s="32">
        <v>44888</v>
      </c>
      <c r="B736" s="33">
        <v>7.4999999999999997E-2</v>
      </c>
    </row>
    <row r="737" spans="1:2">
      <c r="A737" s="32">
        <v>44889</v>
      </c>
      <c r="B737" s="33">
        <v>7.4999999999999997E-2</v>
      </c>
    </row>
    <row r="738" spans="1:2">
      <c r="A738" s="32">
        <v>44890</v>
      </c>
      <c r="B738" s="33">
        <v>7.4999999999999997E-2</v>
      </c>
    </row>
    <row r="739" spans="1:2">
      <c r="A739" s="32">
        <v>44893</v>
      </c>
      <c r="B739" s="33">
        <v>7.4999999999999997E-2</v>
      </c>
    </row>
    <row r="740" spans="1:2">
      <c r="A740" s="32">
        <v>44894</v>
      </c>
      <c r="B740" s="33">
        <v>7.4999999999999997E-2</v>
      </c>
    </row>
    <row r="741" spans="1:2">
      <c r="A741" s="32">
        <v>44895</v>
      </c>
      <c r="B741" s="33">
        <v>7.4999999999999997E-2</v>
      </c>
    </row>
    <row r="742" spans="1:2">
      <c r="A742" s="32">
        <v>44896</v>
      </c>
      <c r="B742" s="33">
        <v>7.4999999999999997E-2</v>
      </c>
    </row>
    <row r="743" spans="1:2">
      <c r="A743" s="32">
        <v>44897</v>
      </c>
      <c r="B743" s="33">
        <v>7.4999999999999997E-2</v>
      </c>
    </row>
    <row r="744" spans="1:2">
      <c r="A744" s="32">
        <v>44900</v>
      </c>
      <c r="B744" s="33">
        <v>7.4999999999999997E-2</v>
      </c>
    </row>
    <row r="745" spans="1:2">
      <c r="A745" s="32">
        <v>44901</v>
      </c>
      <c r="B745" s="33">
        <v>7.4999999999999997E-2</v>
      </c>
    </row>
    <row r="746" spans="1:2">
      <c r="A746" s="32">
        <v>44902</v>
      </c>
      <c r="B746" s="33">
        <v>7.4999999999999997E-2</v>
      </c>
    </row>
    <row r="747" spans="1:2">
      <c r="A747" s="32">
        <v>44903</v>
      </c>
      <c r="B747" s="33">
        <v>7.4999999999999997E-2</v>
      </c>
    </row>
    <row r="748" spans="1:2">
      <c r="A748" s="32">
        <v>44904</v>
      </c>
      <c r="B748" s="33">
        <v>7.4999999999999997E-2</v>
      </c>
    </row>
    <row r="749" spans="1:2">
      <c r="A749" s="32">
        <v>44907</v>
      </c>
      <c r="B749" s="33">
        <v>7.4999999999999997E-2</v>
      </c>
    </row>
    <row r="750" spans="1:2">
      <c r="A750" s="32">
        <v>44908</v>
      </c>
      <c r="B750" s="33">
        <v>7.4999999999999997E-2</v>
      </c>
    </row>
    <row r="751" spans="1:2">
      <c r="A751" s="32">
        <v>44909</v>
      </c>
      <c r="B751" s="33">
        <v>7.4999999999999997E-2</v>
      </c>
    </row>
    <row r="752" spans="1:2">
      <c r="A752" s="32">
        <v>44910</v>
      </c>
      <c r="B752" s="33">
        <v>7.4999999999999997E-2</v>
      </c>
    </row>
    <row r="753" spans="1:2">
      <c r="A753" s="32">
        <v>44911</v>
      </c>
      <c r="B753" s="33">
        <v>7.4999999999999997E-2</v>
      </c>
    </row>
    <row r="754" spans="1:2">
      <c r="A754" s="32">
        <v>44914</v>
      </c>
      <c r="B754" s="33">
        <v>7.4999999999999997E-2</v>
      </c>
    </row>
    <row r="755" spans="1:2">
      <c r="A755" s="32">
        <v>44915</v>
      </c>
      <c r="B755" s="33">
        <v>7.4999999999999997E-2</v>
      </c>
    </row>
    <row r="756" spans="1:2">
      <c r="A756" s="32">
        <v>44916</v>
      </c>
      <c r="B756" s="33">
        <v>7.4999999999999997E-2</v>
      </c>
    </row>
    <row r="757" spans="1:2">
      <c r="A757" s="32">
        <v>44917</v>
      </c>
      <c r="B757" s="33">
        <v>7.4999999999999997E-2</v>
      </c>
    </row>
    <row r="758" spans="1:2">
      <c r="A758" s="32">
        <v>44918</v>
      </c>
      <c r="B758" s="33">
        <v>7.4999999999999997E-2</v>
      </c>
    </row>
    <row r="759" spans="1:2">
      <c r="A759" s="32">
        <v>44921</v>
      </c>
      <c r="B759" s="33">
        <v>7.4999999999999997E-2</v>
      </c>
    </row>
    <row r="760" spans="1:2">
      <c r="A760" s="32">
        <v>44922</v>
      </c>
      <c r="B760" s="33">
        <v>7.4999999999999997E-2</v>
      </c>
    </row>
    <row r="761" spans="1:2">
      <c r="A761" s="32">
        <v>44923</v>
      </c>
      <c r="B761" s="33">
        <v>7.4999999999999997E-2</v>
      </c>
    </row>
    <row r="762" spans="1:2">
      <c r="A762" s="32">
        <v>44924</v>
      </c>
      <c r="B762" s="33">
        <v>7.4999999999999997E-2</v>
      </c>
    </row>
    <row r="763" spans="1:2">
      <c r="A763" s="32">
        <v>44925</v>
      </c>
      <c r="B763" s="33">
        <v>7.4999999999999997E-2</v>
      </c>
    </row>
    <row r="764" spans="1:2">
      <c r="A764" s="32">
        <v>44929</v>
      </c>
      <c r="B764" s="33">
        <v>7.4999999999999997E-2</v>
      </c>
    </row>
    <row r="765" spans="1:2">
      <c r="A765" s="32">
        <v>44930</v>
      </c>
      <c r="B765" s="33">
        <v>7.4999999999999997E-2</v>
      </c>
    </row>
    <row r="766" spans="1:2">
      <c r="A766" s="32">
        <v>44931</v>
      </c>
      <c r="B766" s="33">
        <v>7.4999999999999997E-2</v>
      </c>
    </row>
    <row r="767" spans="1:2">
      <c r="A767" s="32">
        <v>44932</v>
      </c>
      <c r="B767" s="33">
        <v>7.4999999999999997E-2</v>
      </c>
    </row>
    <row r="768" spans="1:2">
      <c r="A768" s="32">
        <v>44935</v>
      </c>
      <c r="B768" s="33">
        <v>7.4999999999999997E-2</v>
      </c>
    </row>
    <row r="769" spans="1:2">
      <c r="A769" s="32">
        <v>44936</v>
      </c>
      <c r="B769" s="33">
        <v>7.4999999999999997E-2</v>
      </c>
    </row>
    <row r="770" spans="1:2">
      <c r="A770" s="32">
        <v>44937</v>
      </c>
      <c r="B770" s="33">
        <v>7.4999999999999997E-2</v>
      </c>
    </row>
    <row r="771" spans="1:2">
      <c r="A771" s="32">
        <v>44938</v>
      </c>
      <c r="B771" s="33">
        <v>7.4999999999999997E-2</v>
      </c>
    </row>
    <row r="772" spans="1:2">
      <c r="A772" s="32">
        <v>44939</v>
      </c>
      <c r="B772" s="33">
        <v>7.4999999999999997E-2</v>
      </c>
    </row>
    <row r="773" spans="1:2">
      <c r="A773" s="32">
        <v>44942</v>
      </c>
      <c r="B773" s="33">
        <v>7.4999999999999997E-2</v>
      </c>
    </row>
    <row r="774" spans="1:2">
      <c r="A774" s="32">
        <v>44943</v>
      </c>
      <c r="B774" s="33">
        <v>7.4999999999999997E-2</v>
      </c>
    </row>
    <row r="775" spans="1:2">
      <c r="A775" s="32">
        <v>44944</v>
      </c>
      <c r="B775" s="33">
        <v>7.4999999999999997E-2</v>
      </c>
    </row>
    <row r="776" spans="1:2">
      <c r="A776" s="32">
        <v>44945</v>
      </c>
      <c r="B776" s="33">
        <v>7.4999999999999997E-2</v>
      </c>
    </row>
    <row r="777" spans="1:2">
      <c r="A777" s="32">
        <v>44946</v>
      </c>
      <c r="B777" s="33">
        <v>7.4999999999999997E-2</v>
      </c>
    </row>
    <row r="778" spans="1:2">
      <c r="A778" s="32">
        <v>44949</v>
      </c>
      <c r="B778" s="33">
        <v>7.4999999999999997E-2</v>
      </c>
    </row>
    <row r="779" spans="1:2">
      <c r="A779" s="32">
        <v>44950</v>
      </c>
      <c r="B779" s="33">
        <v>7.4999999999999997E-2</v>
      </c>
    </row>
    <row r="780" spans="1:2">
      <c r="A780" s="32">
        <v>44951</v>
      </c>
      <c r="B780" s="33">
        <v>7.4999999999999997E-2</v>
      </c>
    </row>
    <row r="781" spans="1:2">
      <c r="A781" s="32">
        <v>44952</v>
      </c>
      <c r="B781" s="33">
        <v>7.4999999999999997E-2</v>
      </c>
    </row>
    <row r="782" spans="1:2">
      <c r="A782" s="32">
        <v>44953</v>
      </c>
      <c r="B782" s="33">
        <v>7.4999999999999997E-2</v>
      </c>
    </row>
    <row r="783" spans="1:2">
      <c r="A783" s="32">
        <v>44956</v>
      </c>
      <c r="B783" s="33">
        <v>7.4999999999999997E-2</v>
      </c>
    </row>
    <row r="784" spans="1:2">
      <c r="A784" s="32">
        <v>44957</v>
      </c>
      <c r="B784" s="33">
        <v>7.4999999999999997E-2</v>
      </c>
    </row>
    <row r="785" spans="1:2">
      <c r="A785" s="32">
        <v>44958</v>
      </c>
      <c r="B785" s="33">
        <v>7.4999999999999997E-2</v>
      </c>
    </row>
    <row r="786" spans="1:2">
      <c r="A786" s="32">
        <v>44959</v>
      </c>
      <c r="B786" s="33">
        <v>7.4999999999999997E-2</v>
      </c>
    </row>
    <row r="787" spans="1:2">
      <c r="A787" s="32">
        <v>44960</v>
      </c>
      <c r="B787" s="33">
        <v>7.4999999999999997E-2</v>
      </c>
    </row>
    <row r="788" spans="1:2">
      <c r="A788" s="32">
        <v>44963</v>
      </c>
      <c r="B788" s="33">
        <v>7.4999999999999997E-2</v>
      </c>
    </row>
    <row r="789" spans="1:2">
      <c r="A789" s="32">
        <v>44964</v>
      </c>
      <c r="B789" s="33">
        <v>7.4999999999999997E-2</v>
      </c>
    </row>
    <row r="790" spans="1:2">
      <c r="A790" s="32">
        <v>44965</v>
      </c>
      <c r="B790" s="33">
        <v>7.4999999999999997E-2</v>
      </c>
    </row>
    <row r="791" spans="1:2">
      <c r="A791" s="32">
        <v>44966</v>
      </c>
      <c r="B791" s="33">
        <v>7.4999999999999997E-2</v>
      </c>
    </row>
    <row r="792" spans="1:2">
      <c r="A792" s="32">
        <v>44967</v>
      </c>
      <c r="B792" s="33">
        <v>7.4999999999999997E-2</v>
      </c>
    </row>
    <row r="793" spans="1:2">
      <c r="A793" s="32">
        <v>44970</v>
      </c>
      <c r="B793" s="33">
        <v>7.4999999999999997E-2</v>
      </c>
    </row>
    <row r="794" spans="1:2">
      <c r="A794" s="32">
        <v>44971</v>
      </c>
      <c r="B794" s="33">
        <v>7.4999999999999997E-2</v>
      </c>
    </row>
    <row r="795" spans="1:2">
      <c r="A795" s="32">
        <v>44972</v>
      </c>
      <c r="B795" s="33">
        <v>7.4999999999999997E-2</v>
      </c>
    </row>
    <row r="796" spans="1:2">
      <c r="A796" s="32">
        <v>44973</v>
      </c>
      <c r="B796" s="33">
        <v>7.4999999999999997E-2</v>
      </c>
    </row>
    <row r="797" spans="1:2">
      <c r="A797" s="32">
        <v>44974</v>
      </c>
      <c r="B797" s="33">
        <v>7.4999999999999997E-2</v>
      </c>
    </row>
    <row r="798" spans="1:2">
      <c r="A798" s="32">
        <v>44977</v>
      </c>
      <c r="B798" s="33">
        <v>7.4999999999999997E-2</v>
      </c>
    </row>
    <row r="799" spans="1:2">
      <c r="A799" s="32">
        <v>44978</v>
      </c>
      <c r="B799" s="33">
        <v>7.4999999999999997E-2</v>
      </c>
    </row>
    <row r="800" spans="1:2">
      <c r="A800" s="32">
        <v>44979</v>
      </c>
      <c r="B800" s="33">
        <v>7.4999999999999997E-2</v>
      </c>
    </row>
    <row r="801" spans="1:2">
      <c r="A801" s="32">
        <v>44981</v>
      </c>
      <c r="B801" s="33">
        <v>7.4999999999999997E-2</v>
      </c>
    </row>
    <row r="802" spans="1:2">
      <c r="A802" s="32">
        <v>44984</v>
      </c>
      <c r="B802" s="33">
        <v>7.4999999999999997E-2</v>
      </c>
    </row>
    <row r="803" spans="1:2">
      <c r="A803" s="32">
        <v>44985</v>
      </c>
      <c r="B803" s="33">
        <v>7.4999999999999997E-2</v>
      </c>
    </row>
    <row r="804" spans="1:2">
      <c r="A804" s="32">
        <v>44986</v>
      </c>
      <c r="B804" s="33">
        <v>7.4999999999999997E-2</v>
      </c>
    </row>
    <row r="805" spans="1:2">
      <c r="A805" s="32">
        <v>44987</v>
      </c>
      <c r="B805" s="33">
        <v>7.4999999999999997E-2</v>
      </c>
    </row>
    <row r="806" spans="1:2">
      <c r="A806" s="32">
        <v>44988</v>
      </c>
      <c r="B806" s="33">
        <v>7.4999999999999997E-2</v>
      </c>
    </row>
    <row r="807" spans="1:2">
      <c r="A807" s="32">
        <v>44991</v>
      </c>
      <c r="B807" s="33">
        <v>7.4999999999999997E-2</v>
      </c>
    </row>
    <row r="808" spans="1:2">
      <c r="A808" s="32">
        <v>44992</v>
      </c>
      <c r="B808" s="33">
        <v>7.4999999999999997E-2</v>
      </c>
    </row>
    <row r="809" spans="1:2">
      <c r="A809" s="32">
        <v>44994</v>
      </c>
      <c r="B809" s="33">
        <v>7.4999999999999997E-2</v>
      </c>
    </row>
    <row r="810" spans="1:2">
      <c r="A810" s="32">
        <v>44995</v>
      </c>
      <c r="B810" s="33">
        <v>7.4999999999999997E-2</v>
      </c>
    </row>
    <row r="811" spans="1:2">
      <c r="A811" s="32">
        <v>44998</v>
      </c>
      <c r="B811" s="33">
        <v>7.4999999999999997E-2</v>
      </c>
    </row>
    <row r="812" spans="1:2">
      <c r="A812" s="32">
        <v>44999</v>
      </c>
      <c r="B812" s="33">
        <v>7.4999999999999997E-2</v>
      </c>
    </row>
    <row r="813" spans="1:2">
      <c r="A813" s="32">
        <v>45000</v>
      </c>
      <c r="B813" s="33">
        <v>7.4999999999999997E-2</v>
      </c>
    </row>
    <row r="814" spans="1:2">
      <c r="A814" s="32">
        <v>45001</v>
      </c>
      <c r="B814" s="33">
        <v>7.4999999999999997E-2</v>
      </c>
    </row>
    <row r="815" spans="1:2">
      <c r="A815" s="32">
        <v>45002</v>
      </c>
      <c r="B815" s="33">
        <v>7.4999999999999997E-2</v>
      </c>
    </row>
    <row r="816" spans="1:2">
      <c r="A816" s="32">
        <v>45005</v>
      </c>
      <c r="B816" s="33">
        <v>7.4999999999999997E-2</v>
      </c>
    </row>
    <row r="817" spans="1:2">
      <c r="A817" s="32">
        <v>45006</v>
      </c>
      <c r="B817" s="33">
        <v>7.4999999999999997E-2</v>
      </c>
    </row>
    <row r="818" spans="1:2">
      <c r="A818" s="32">
        <v>45007</v>
      </c>
      <c r="B818" s="33">
        <v>7.4999999999999997E-2</v>
      </c>
    </row>
    <row r="819" spans="1:2">
      <c r="A819" s="32">
        <v>45008</v>
      </c>
      <c r="B819" s="33">
        <v>7.4999999999999997E-2</v>
      </c>
    </row>
    <row r="820" spans="1:2">
      <c r="A820" s="32">
        <v>45009</v>
      </c>
      <c r="B820" s="33">
        <v>7.4999999999999997E-2</v>
      </c>
    </row>
    <row r="821" spans="1:2">
      <c r="A821" s="32">
        <v>45012</v>
      </c>
      <c r="B821" s="33">
        <v>7.4999999999999997E-2</v>
      </c>
    </row>
    <row r="822" spans="1:2">
      <c r="A822" s="32">
        <v>45013</v>
      </c>
      <c r="B822" s="33">
        <v>7.4999999999999997E-2</v>
      </c>
    </row>
    <row r="823" spans="1:2">
      <c r="A823" s="32">
        <v>45014</v>
      </c>
      <c r="B823" s="33">
        <v>7.4999999999999997E-2</v>
      </c>
    </row>
    <row r="824" spans="1:2">
      <c r="A824" s="32">
        <v>45015</v>
      </c>
      <c r="B824" s="33">
        <v>7.4999999999999997E-2</v>
      </c>
    </row>
    <row r="825" spans="1:2">
      <c r="A825" s="32">
        <v>45016</v>
      </c>
      <c r="B825" s="33">
        <v>7.4999999999999997E-2</v>
      </c>
    </row>
    <row r="826" spans="1:2">
      <c r="A826" s="32">
        <v>45019</v>
      </c>
      <c r="B826" s="33">
        <v>7.4999999999999997E-2</v>
      </c>
    </row>
    <row r="827" spans="1:2">
      <c r="A827" s="32">
        <v>45020</v>
      </c>
      <c r="B827" s="33">
        <v>7.4999999999999997E-2</v>
      </c>
    </row>
    <row r="828" spans="1:2">
      <c r="A828" s="32">
        <v>45021</v>
      </c>
      <c r="B828" s="33">
        <v>7.4999999999999997E-2</v>
      </c>
    </row>
    <row r="829" spans="1:2">
      <c r="A829" s="32">
        <v>45022</v>
      </c>
      <c r="B829" s="33">
        <v>7.4999999999999997E-2</v>
      </c>
    </row>
    <row r="830" spans="1:2">
      <c r="A830" s="32">
        <v>45023</v>
      </c>
      <c r="B830" s="33">
        <v>7.4999999999999997E-2</v>
      </c>
    </row>
    <row r="831" spans="1:2">
      <c r="A831" s="32">
        <v>45026</v>
      </c>
      <c r="B831" s="33">
        <v>7.4999999999999997E-2</v>
      </c>
    </row>
    <row r="832" spans="1:2">
      <c r="A832" s="32">
        <v>45027</v>
      </c>
      <c r="B832" s="33">
        <v>7.4999999999999997E-2</v>
      </c>
    </row>
    <row r="833" spans="1:2">
      <c r="A833" s="32">
        <v>45028</v>
      </c>
      <c r="B833" s="33">
        <v>7.4999999999999997E-2</v>
      </c>
    </row>
    <row r="834" spans="1:2">
      <c r="A834" s="32">
        <v>45029</v>
      </c>
      <c r="B834" s="33">
        <v>7.4999999999999997E-2</v>
      </c>
    </row>
    <row r="835" spans="1:2">
      <c r="A835" s="32">
        <v>45030</v>
      </c>
      <c r="B835" s="33">
        <v>7.4999999999999997E-2</v>
      </c>
    </row>
    <row r="836" spans="1:2">
      <c r="A836" s="32">
        <v>45033</v>
      </c>
      <c r="B836" s="33">
        <v>7.4999999999999997E-2</v>
      </c>
    </row>
    <row r="837" spans="1:2">
      <c r="A837" s="32">
        <v>45034</v>
      </c>
      <c r="B837" s="33">
        <v>7.4999999999999997E-2</v>
      </c>
    </row>
    <row r="838" spans="1:2">
      <c r="A838" s="32">
        <v>45035</v>
      </c>
      <c r="B838" s="33">
        <v>7.4999999999999997E-2</v>
      </c>
    </row>
    <row r="839" spans="1:2">
      <c r="A839" s="32">
        <v>45036</v>
      </c>
      <c r="B839" s="33">
        <v>7.4999999999999997E-2</v>
      </c>
    </row>
    <row r="840" spans="1:2">
      <c r="A840" s="32">
        <v>45037</v>
      </c>
      <c r="B840" s="33">
        <v>7.4999999999999997E-2</v>
      </c>
    </row>
    <row r="841" spans="1:2">
      <c r="A841" s="32">
        <v>45040</v>
      </c>
      <c r="B841" s="33">
        <v>7.4999999999999997E-2</v>
      </c>
    </row>
    <row r="842" spans="1:2">
      <c r="A842" s="32">
        <v>45041</v>
      </c>
      <c r="B842" s="33">
        <v>7.4999999999999997E-2</v>
      </c>
    </row>
    <row r="843" spans="1:2">
      <c r="A843" s="32">
        <v>45042</v>
      </c>
      <c r="B843" s="33">
        <v>7.4999999999999997E-2</v>
      </c>
    </row>
    <row r="844" spans="1:2">
      <c r="A844" s="32">
        <v>45043</v>
      </c>
      <c r="B844" s="33">
        <v>7.4999999999999997E-2</v>
      </c>
    </row>
    <row r="845" spans="1:2">
      <c r="A845" s="32">
        <v>45044</v>
      </c>
      <c r="B845" s="33">
        <v>7.4999999999999997E-2</v>
      </c>
    </row>
    <row r="846" spans="1:2">
      <c r="A846" s="32">
        <v>45048</v>
      </c>
      <c r="B846" s="33">
        <v>7.4999999999999997E-2</v>
      </c>
    </row>
    <row r="847" spans="1:2">
      <c r="A847" s="32">
        <v>45049</v>
      </c>
      <c r="B847" s="33">
        <v>7.4999999999999997E-2</v>
      </c>
    </row>
    <row r="848" spans="1:2">
      <c r="A848" s="32">
        <v>45050</v>
      </c>
      <c r="B848" s="33">
        <v>7.4999999999999997E-2</v>
      </c>
    </row>
    <row r="849" spans="1:2">
      <c r="A849" s="32">
        <v>45051</v>
      </c>
      <c r="B849" s="33">
        <v>7.4999999999999997E-2</v>
      </c>
    </row>
    <row r="850" spans="1:2">
      <c r="A850" s="32">
        <v>45054</v>
      </c>
      <c r="B850" s="33">
        <v>7.4999999999999997E-2</v>
      </c>
    </row>
    <row r="851" spans="1:2">
      <c r="A851" s="32">
        <v>45056</v>
      </c>
      <c r="B851" s="33">
        <v>7.4999999999999997E-2</v>
      </c>
    </row>
    <row r="852" spans="1:2">
      <c r="A852" s="32">
        <v>45057</v>
      </c>
      <c r="B852" s="33">
        <v>7.4999999999999997E-2</v>
      </c>
    </row>
    <row r="853" spans="1:2">
      <c r="A853" s="32">
        <v>45058</v>
      </c>
      <c r="B853" s="33">
        <v>7.4999999999999997E-2</v>
      </c>
    </row>
    <row r="854" spans="1:2">
      <c r="A854" s="32">
        <v>45061</v>
      </c>
      <c r="B854" s="33">
        <v>7.4999999999999997E-2</v>
      </c>
    </row>
    <row r="855" spans="1:2">
      <c r="A855" s="32">
        <v>45062</v>
      </c>
      <c r="B855" s="33">
        <v>7.4999999999999997E-2</v>
      </c>
    </row>
    <row r="856" spans="1:2">
      <c r="A856" s="32">
        <v>45063</v>
      </c>
      <c r="B856" s="33">
        <v>7.4999999999999997E-2</v>
      </c>
    </row>
    <row r="857" spans="1:2">
      <c r="A857" s="32">
        <v>45064</v>
      </c>
      <c r="B857" s="33">
        <v>7.4999999999999997E-2</v>
      </c>
    </row>
    <row r="858" spans="1:2">
      <c r="A858" s="32">
        <v>45065</v>
      </c>
      <c r="B858" s="33">
        <v>7.4999999999999997E-2</v>
      </c>
    </row>
    <row r="859" spans="1:2">
      <c r="A859" s="32">
        <v>45068</v>
      </c>
      <c r="B859" s="33">
        <v>7.4999999999999997E-2</v>
      </c>
    </row>
    <row r="860" spans="1:2">
      <c r="A860" s="32">
        <v>45069</v>
      </c>
      <c r="B860" s="33">
        <v>7.4999999999999997E-2</v>
      </c>
    </row>
    <row r="861" spans="1:2">
      <c r="A861" s="32">
        <v>45070</v>
      </c>
      <c r="B861" s="33">
        <v>7.4999999999999997E-2</v>
      </c>
    </row>
    <row r="862" spans="1:2">
      <c r="A862" s="32">
        <v>45071</v>
      </c>
      <c r="B862" s="33">
        <v>7.4999999999999997E-2</v>
      </c>
    </row>
    <row r="863" spans="1:2">
      <c r="A863" s="32">
        <v>45072</v>
      </c>
      <c r="B863" s="33">
        <v>7.4999999999999997E-2</v>
      </c>
    </row>
    <row r="864" spans="1:2">
      <c r="A864" s="32">
        <v>45075</v>
      </c>
      <c r="B864" s="33">
        <v>7.4999999999999997E-2</v>
      </c>
    </row>
    <row r="865" spans="1:2">
      <c r="A865" s="32">
        <v>45076</v>
      </c>
      <c r="B865" s="33">
        <v>7.4999999999999997E-2</v>
      </c>
    </row>
    <row r="866" spans="1:2">
      <c r="A866" s="32">
        <v>45077</v>
      </c>
      <c r="B866" s="33">
        <v>7.4999999999999997E-2</v>
      </c>
    </row>
    <row r="867" spans="1:2">
      <c r="A867" s="32">
        <v>45078</v>
      </c>
      <c r="B867" s="33">
        <v>7.4999999999999997E-2</v>
      </c>
    </row>
    <row r="868" spans="1:2">
      <c r="A868" s="32">
        <v>45079</v>
      </c>
      <c r="B868" s="33">
        <v>7.4999999999999997E-2</v>
      </c>
    </row>
    <row r="869" spans="1:2">
      <c r="A869" s="32">
        <v>45082</v>
      </c>
      <c r="B869" s="33">
        <v>7.4999999999999997E-2</v>
      </c>
    </row>
    <row r="870" spans="1:2">
      <c r="A870" s="32">
        <v>45083</v>
      </c>
      <c r="B870" s="33">
        <v>7.4999999999999997E-2</v>
      </c>
    </row>
    <row r="871" spans="1:2">
      <c r="A871" s="32">
        <v>45084</v>
      </c>
      <c r="B871" s="33">
        <v>7.4999999999999997E-2</v>
      </c>
    </row>
    <row r="872" spans="1:2">
      <c r="A872" s="32">
        <v>45085</v>
      </c>
      <c r="B872" s="33">
        <v>7.4999999999999997E-2</v>
      </c>
    </row>
    <row r="873" spans="1:2">
      <c r="A873" s="32">
        <v>45086</v>
      </c>
      <c r="B873" s="33">
        <v>7.4999999999999997E-2</v>
      </c>
    </row>
    <row r="874" spans="1:2">
      <c r="A874" s="32">
        <v>45090</v>
      </c>
      <c r="B874" s="33">
        <v>7.4999999999999997E-2</v>
      </c>
    </row>
    <row r="875" spans="1:2">
      <c r="A875" s="32">
        <v>45091</v>
      </c>
      <c r="B875" s="33">
        <v>7.4999999999999997E-2</v>
      </c>
    </row>
    <row r="876" spans="1:2">
      <c r="A876" s="32">
        <v>45092</v>
      </c>
      <c r="B876" s="33">
        <v>7.4999999999999997E-2</v>
      </c>
    </row>
    <row r="877" spans="1:2">
      <c r="A877" s="32">
        <v>45093</v>
      </c>
      <c r="B877" s="33">
        <v>7.4999999999999997E-2</v>
      </c>
    </row>
    <row r="878" spans="1:2">
      <c r="A878" s="32">
        <v>45096</v>
      </c>
      <c r="B878" s="33">
        <v>7.4999999999999997E-2</v>
      </c>
    </row>
    <row r="879" spans="1:2">
      <c r="A879" s="32">
        <v>45097</v>
      </c>
      <c r="B879" s="33">
        <v>7.4999999999999997E-2</v>
      </c>
    </row>
    <row r="880" spans="1:2">
      <c r="A880" s="32">
        <v>45098</v>
      </c>
      <c r="B880" s="33">
        <v>7.4999999999999997E-2</v>
      </c>
    </row>
    <row r="881" spans="1:2">
      <c r="A881" s="32">
        <v>45099</v>
      </c>
      <c r="B881" s="33">
        <v>7.4999999999999997E-2</v>
      </c>
    </row>
    <row r="882" spans="1:2">
      <c r="A882" s="32">
        <v>45100</v>
      </c>
      <c r="B882" s="33">
        <v>7.4999999999999997E-2</v>
      </c>
    </row>
    <row r="883" spans="1:2">
      <c r="A883" s="32">
        <v>45103</v>
      </c>
      <c r="B883" s="33">
        <v>7.4999999999999997E-2</v>
      </c>
    </row>
    <row r="884" spans="1:2">
      <c r="A884" s="32">
        <v>45104</v>
      </c>
      <c r="B884" s="33">
        <v>7.4999999999999997E-2</v>
      </c>
    </row>
    <row r="885" spans="1:2">
      <c r="A885" s="32">
        <v>45105</v>
      </c>
      <c r="B885" s="33">
        <v>7.4999999999999997E-2</v>
      </c>
    </row>
    <row r="886" spans="1:2">
      <c r="A886" s="32">
        <v>45106</v>
      </c>
      <c r="B886" s="33">
        <v>7.4999999999999997E-2</v>
      </c>
    </row>
    <row r="887" spans="1:2">
      <c r="A887" s="32">
        <v>45107</v>
      </c>
      <c r="B887" s="33">
        <v>7.4999999999999997E-2</v>
      </c>
    </row>
    <row r="888" spans="1:2">
      <c r="A888" s="32">
        <v>45110</v>
      </c>
      <c r="B888" s="33">
        <v>7.4999999999999997E-2</v>
      </c>
    </row>
    <row r="889" spans="1:2">
      <c r="A889" s="32">
        <v>45111</v>
      </c>
      <c r="B889" s="33">
        <v>7.4999999999999997E-2</v>
      </c>
    </row>
    <row r="890" spans="1:2">
      <c r="A890" s="32">
        <v>45112</v>
      </c>
      <c r="B890" s="33">
        <v>7.4999999999999997E-2</v>
      </c>
    </row>
    <row r="891" spans="1:2">
      <c r="A891" s="32">
        <v>45113</v>
      </c>
      <c r="B891" s="33">
        <v>7.4999999999999997E-2</v>
      </c>
    </row>
    <row r="892" spans="1:2">
      <c r="A892" s="32">
        <v>45114</v>
      </c>
      <c r="B892" s="33">
        <v>7.4999999999999997E-2</v>
      </c>
    </row>
    <row r="893" spans="1:2">
      <c r="A893" s="32">
        <v>45117</v>
      </c>
      <c r="B893" s="33">
        <v>7.4999999999999997E-2</v>
      </c>
    </row>
    <row r="894" spans="1:2">
      <c r="A894" s="32">
        <v>45118</v>
      </c>
      <c r="B894" s="33">
        <v>7.4999999999999997E-2</v>
      </c>
    </row>
    <row r="895" spans="1:2">
      <c r="A895" s="32">
        <v>45119</v>
      </c>
      <c r="B895" s="33">
        <v>7.4999999999999997E-2</v>
      </c>
    </row>
    <row r="896" spans="1:2">
      <c r="A896" s="32">
        <v>45120</v>
      </c>
      <c r="B896" s="33">
        <v>7.4999999999999997E-2</v>
      </c>
    </row>
    <row r="897" spans="1:2">
      <c r="A897" s="32">
        <v>45121</v>
      </c>
      <c r="B897" s="33">
        <v>7.4999999999999997E-2</v>
      </c>
    </row>
    <row r="898" spans="1:2">
      <c r="A898" s="32">
        <v>45124</v>
      </c>
      <c r="B898" s="33">
        <v>7.4999999999999997E-2</v>
      </c>
    </row>
    <row r="899" spans="1:2">
      <c r="A899" s="32">
        <v>45125</v>
      </c>
      <c r="B899" s="33">
        <v>7.4999999999999997E-2</v>
      </c>
    </row>
    <row r="900" spans="1:2">
      <c r="A900" s="32">
        <v>45126</v>
      </c>
      <c r="B900" s="33">
        <v>7.4999999999999997E-2</v>
      </c>
    </row>
    <row r="901" spans="1:2">
      <c r="A901" s="32">
        <v>45127</v>
      </c>
      <c r="B901" s="33">
        <v>7.4999999999999997E-2</v>
      </c>
    </row>
    <row r="902" spans="1:2">
      <c r="A902" s="32">
        <v>45128</v>
      </c>
      <c r="B902" s="33">
        <v>7.4999999999999997E-2</v>
      </c>
    </row>
    <row r="903" spans="1:2">
      <c r="A903" s="32">
        <v>45131</v>
      </c>
      <c r="B903" s="33">
        <v>8.5000000000000006E-2</v>
      </c>
    </row>
    <row r="904" spans="1:2">
      <c r="A904" s="32">
        <v>45132</v>
      </c>
      <c r="B904" s="33">
        <v>8.5000000000000006E-2</v>
      </c>
    </row>
    <row r="905" spans="1:2">
      <c r="A905" s="32">
        <v>45133</v>
      </c>
      <c r="B905" s="33">
        <v>8.5000000000000006E-2</v>
      </c>
    </row>
    <row r="906" spans="1:2">
      <c r="A906" s="32">
        <v>45134</v>
      </c>
      <c r="B906" s="33">
        <v>8.5000000000000006E-2</v>
      </c>
    </row>
    <row r="907" spans="1:2">
      <c r="A907" s="32">
        <v>45135</v>
      </c>
      <c r="B907" s="33">
        <v>8.5000000000000006E-2</v>
      </c>
    </row>
    <row r="908" spans="1:2">
      <c r="A908" s="32">
        <v>45138</v>
      </c>
      <c r="B908" s="33">
        <v>8.5000000000000006E-2</v>
      </c>
    </row>
    <row r="909" spans="1:2">
      <c r="A909" s="32">
        <v>45139</v>
      </c>
      <c r="B909" s="33">
        <v>8.5000000000000006E-2</v>
      </c>
    </row>
    <row r="910" spans="1:2">
      <c r="A910" s="32">
        <v>45140</v>
      </c>
      <c r="B910" s="33">
        <v>8.5000000000000006E-2</v>
      </c>
    </row>
    <row r="911" spans="1:2">
      <c r="A911" s="32">
        <v>45141</v>
      </c>
      <c r="B911" s="33">
        <v>8.5000000000000006E-2</v>
      </c>
    </row>
    <row r="912" spans="1:2">
      <c r="A912" s="32">
        <v>45142</v>
      </c>
      <c r="B912" s="33">
        <v>8.5000000000000006E-2</v>
      </c>
    </row>
    <row r="913" spans="1:2">
      <c r="A913" s="32">
        <v>45145</v>
      </c>
      <c r="B913" s="33">
        <v>8.5000000000000006E-2</v>
      </c>
    </row>
    <row r="914" spans="1:2">
      <c r="A914" s="32">
        <v>45146</v>
      </c>
      <c r="B914" s="33">
        <v>8.5000000000000006E-2</v>
      </c>
    </row>
    <row r="915" spans="1:2">
      <c r="A915" s="32">
        <v>45147</v>
      </c>
      <c r="B915" s="33">
        <v>8.5000000000000006E-2</v>
      </c>
    </row>
    <row r="916" spans="1:2">
      <c r="A916" s="32">
        <v>45148</v>
      </c>
      <c r="B916" s="33">
        <v>8.5000000000000006E-2</v>
      </c>
    </row>
    <row r="917" spans="1:2">
      <c r="A917" s="32">
        <v>45149</v>
      </c>
      <c r="B917" s="33">
        <v>8.5000000000000006E-2</v>
      </c>
    </row>
    <row r="918" spans="1:2">
      <c r="A918" s="32">
        <v>45152</v>
      </c>
      <c r="B918" s="33">
        <v>8.5000000000000006E-2</v>
      </c>
    </row>
    <row r="919" spans="1:2">
      <c r="A919" s="32">
        <v>45153</v>
      </c>
      <c r="B919" s="33">
        <v>0.12</v>
      </c>
    </row>
    <row r="920" spans="1:2">
      <c r="A920" s="32">
        <v>45154</v>
      </c>
      <c r="B920" s="33">
        <v>0.12</v>
      </c>
    </row>
    <row r="921" spans="1:2">
      <c r="A921" s="32">
        <v>45155</v>
      </c>
      <c r="B921" s="33">
        <v>0.12</v>
      </c>
    </row>
    <row r="922" spans="1:2">
      <c r="A922" s="32">
        <v>45156</v>
      </c>
      <c r="B922" s="33">
        <v>0.12</v>
      </c>
    </row>
    <row r="923" spans="1:2">
      <c r="A923" s="32">
        <v>45159</v>
      </c>
      <c r="B923" s="33">
        <v>0.12</v>
      </c>
    </row>
    <row r="924" spans="1:2">
      <c r="A924" s="32">
        <v>45160</v>
      </c>
      <c r="B924" s="33">
        <v>0.12</v>
      </c>
    </row>
    <row r="925" spans="1:2">
      <c r="A925" s="32">
        <v>45161</v>
      </c>
      <c r="B925" s="33">
        <v>0.12</v>
      </c>
    </row>
    <row r="926" spans="1:2">
      <c r="A926" s="32">
        <v>45162</v>
      </c>
      <c r="B926" s="33">
        <v>0.12</v>
      </c>
    </row>
    <row r="927" spans="1:2">
      <c r="A927" s="32">
        <v>45163</v>
      </c>
      <c r="B927" s="33">
        <v>0.12</v>
      </c>
    </row>
    <row r="928" spans="1:2">
      <c r="A928" s="32">
        <v>45166</v>
      </c>
      <c r="B928" s="33">
        <v>0.12</v>
      </c>
    </row>
    <row r="929" spans="1:2">
      <c r="A929" s="32">
        <v>45167</v>
      </c>
      <c r="B929" s="33">
        <v>0.12</v>
      </c>
    </row>
    <row r="930" spans="1:2">
      <c r="A930" s="32">
        <v>45168</v>
      </c>
      <c r="B930" s="33">
        <v>0.12</v>
      </c>
    </row>
    <row r="931" spans="1:2">
      <c r="A931" s="32">
        <v>45169</v>
      </c>
      <c r="B931" s="33">
        <v>0.12</v>
      </c>
    </row>
    <row r="932" spans="1:2">
      <c r="A932" s="32">
        <v>45170</v>
      </c>
      <c r="B932" s="33">
        <v>0.12</v>
      </c>
    </row>
    <row r="933" spans="1:2">
      <c r="A933" s="32">
        <v>45173</v>
      </c>
      <c r="B933" s="33">
        <v>0.12</v>
      </c>
    </row>
    <row r="934" spans="1:2">
      <c r="A934" s="32">
        <v>45174</v>
      </c>
      <c r="B934" s="33">
        <v>0.12</v>
      </c>
    </row>
    <row r="935" spans="1:2">
      <c r="A935" s="32">
        <v>45175</v>
      </c>
      <c r="B935" s="33">
        <v>0.12</v>
      </c>
    </row>
    <row r="936" spans="1:2">
      <c r="A936" s="32">
        <v>45176</v>
      </c>
      <c r="B936" s="33">
        <v>0.12</v>
      </c>
    </row>
    <row r="937" spans="1:2">
      <c r="A937" s="32">
        <v>45177</v>
      </c>
      <c r="B937" s="33">
        <v>0.12</v>
      </c>
    </row>
    <row r="938" spans="1:2">
      <c r="A938" s="32">
        <v>45180</v>
      </c>
      <c r="B938" s="33">
        <v>0.12</v>
      </c>
    </row>
    <row r="939" spans="1:2">
      <c r="A939" s="32">
        <v>45181</v>
      </c>
      <c r="B939" s="33">
        <v>0.12</v>
      </c>
    </row>
    <row r="940" spans="1:2">
      <c r="A940" s="32">
        <v>45182</v>
      </c>
      <c r="B940" s="33">
        <v>0.12</v>
      </c>
    </row>
    <row r="941" spans="1:2">
      <c r="A941" s="32">
        <v>45183</v>
      </c>
      <c r="B941" s="33">
        <v>0.12</v>
      </c>
    </row>
    <row r="942" spans="1:2">
      <c r="A942" s="32">
        <v>45184</v>
      </c>
      <c r="B942" s="33">
        <v>0.12</v>
      </c>
    </row>
    <row r="943" spans="1:2">
      <c r="A943" s="32">
        <v>45187</v>
      </c>
      <c r="B943" s="33">
        <v>0.13</v>
      </c>
    </row>
    <row r="944" spans="1:2">
      <c r="A944" s="32">
        <v>45188</v>
      </c>
      <c r="B944" s="33">
        <v>0.13</v>
      </c>
    </row>
    <row r="945" spans="1:2">
      <c r="A945" s="32">
        <v>45189</v>
      </c>
      <c r="B945" s="33">
        <v>0.13</v>
      </c>
    </row>
    <row r="946" spans="1:2">
      <c r="A946" s="32">
        <v>45190</v>
      </c>
      <c r="B946" s="33">
        <v>0.13</v>
      </c>
    </row>
    <row r="947" spans="1:2">
      <c r="A947" s="32">
        <v>45191</v>
      </c>
      <c r="B947" s="33">
        <v>0.13</v>
      </c>
    </row>
    <row r="948" spans="1:2">
      <c r="A948" s="32">
        <v>45194</v>
      </c>
      <c r="B948" s="33">
        <v>0.13</v>
      </c>
    </row>
    <row r="949" spans="1:2">
      <c r="A949" s="32">
        <v>45195</v>
      </c>
      <c r="B949" s="33">
        <v>0.13</v>
      </c>
    </row>
    <row r="950" spans="1:2">
      <c r="A950" s="32">
        <v>45196</v>
      </c>
      <c r="B950" s="33">
        <v>0.13</v>
      </c>
    </row>
    <row r="951" spans="1:2">
      <c r="A951" s="32">
        <v>45197</v>
      </c>
      <c r="B951" s="33">
        <v>0.13</v>
      </c>
    </row>
    <row r="952" spans="1:2">
      <c r="A952" s="32">
        <v>45198</v>
      </c>
      <c r="B952" s="33">
        <v>0.13</v>
      </c>
    </row>
    <row r="953" spans="1:2">
      <c r="A953" s="32">
        <v>45201</v>
      </c>
      <c r="B953" s="33">
        <v>0.13</v>
      </c>
    </row>
    <row r="954" spans="1:2">
      <c r="A954" s="32">
        <v>45202</v>
      </c>
      <c r="B954" s="33">
        <v>0.13</v>
      </c>
    </row>
    <row r="955" spans="1:2">
      <c r="A955" s="32">
        <v>45203</v>
      </c>
      <c r="B955" s="33">
        <v>0.13</v>
      </c>
    </row>
    <row r="956" spans="1:2">
      <c r="A956" s="32">
        <v>45204</v>
      </c>
      <c r="B956" s="33">
        <v>0.13</v>
      </c>
    </row>
    <row r="957" spans="1:2">
      <c r="A957" s="32">
        <v>45205</v>
      </c>
      <c r="B957" s="33">
        <v>0.13</v>
      </c>
    </row>
    <row r="958" spans="1:2">
      <c r="A958" s="32">
        <v>45208</v>
      </c>
      <c r="B958" s="33">
        <v>0.13</v>
      </c>
    </row>
    <row r="959" spans="1:2">
      <c r="A959" s="32">
        <v>45209</v>
      </c>
      <c r="B959" s="33">
        <v>0.13</v>
      </c>
    </row>
    <row r="960" spans="1:2">
      <c r="A960" s="32">
        <v>45210</v>
      </c>
      <c r="B960" s="33">
        <v>0.13</v>
      </c>
    </row>
    <row r="961" spans="1:2">
      <c r="A961" s="32">
        <v>45211</v>
      </c>
      <c r="B961" s="33">
        <v>0.13</v>
      </c>
    </row>
    <row r="962" spans="1:2">
      <c r="A962" s="32">
        <v>45212</v>
      </c>
      <c r="B962" s="33">
        <v>0.13</v>
      </c>
    </row>
    <row r="963" spans="1:2">
      <c r="A963" s="32">
        <v>45215</v>
      </c>
      <c r="B963" s="33">
        <v>0.13</v>
      </c>
    </row>
    <row r="964" spans="1:2">
      <c r="A964" s="32">
        <v>45216</v>
      </c>
      <c r="B964" s="33">
        <v>0.13</v>
      </c>
    </row>
    <row r="965" spans="1:2">
      <c r="A965" s="32">
        <v>45217</v>
      </c>
      <c r="B965" s="33">
        <v>0.13</v>
      </c>
    </row>
    <row r="966" spans="1:2">
      <c r="A966" s="32">
        <v>45218</v>
      </c>
      <c r="B966" s="33">
        <v>0.13</v>
      </c>
    </row>
    <row r="967" spans="1:2">
      <c r="A967" s="32">
        <v>45219</v>
      </c>
      <c r="B967" s="33">
        <v>0.13</v>
      </c>
    </row>
    <row r="968" spans="1:2">
      <c r="A968" s="32">
        <v>45222</v>
      </c>
      <c r="B968" s="33">
        <v>0.13</v>
      </c>
    </row>
    <row r="969" spans="1:2">
      <c r="A969" s="32">
        <v>45223</v>
      </c>
      <c r="B969" s="33">
        <v>0.13</v>
      </c>
    </row>
    <row r="970" spans="1:2">
      <c r="A970" s="32">
        <v>45224</v>
      </c>
      <c r="B970" s="33">
        <v>0.13</v>
      </c>
    </row>
    <row r="971" spans="1:2">
      <c r="A971" s="32">
        <v>45225</v>
      </c>
      <c r="B971" s="33">
        <v>0.13</v>
      </c>
    </row>
    <row r="972" spans="1:2">
      <c r="A972" s="32">
        <v>45226</v>
      </c>
      <c r="B972" s="33">
        <v>0.13</v>
      </c>
    </row>
    <row r="973" spans="1:2">
      <c r="A973" s="32">
        <v>45229</v>
      </c>
      <c r="B973" s="33">
        <v>0.15</v>
      </c>
    </row>
    <row r="974" spans="1:2">
      <c r="A974" s="32">
        <v>45230</v>
      </c>
      <c r="B974" s="33">
        <v>0.15</v>
      </c>
    </row>
    <row r="975" spans="1:2">
      <c r="A975" s="32">
        <v>45231</v>
      </c>
      <c r="B975" s="33">
        <v>0.15</v>
      </c>
    </row>
    <row r="976" spans="1:2">
      <c r="A976" s="32">
        <v>45232</v>
      </c>
      <c r="B976" s="33">
        <v>0.15</v>
      </c>
    </row>
    <row r="977" spans="1:2">
      <c r="A977" s="32">
        <v>45233</v>
      </c>
      <c r="B977" s="33">
        <v>0.15</v>
      </c>
    </row>
    <row r="978" spans="1:2">
      <c r="A978" s="32">
        <v>45236</v>
      </c>
      <c r="B978" s="33">
        <v>0.15</v>
      </c>
    </row>
    <row r="979" spans="1:2">
      <c r="A979" s="32">
        <v>45237</v>
      </c>
      <c r="B979" s="33">
        <v>0.15</v>
      </c>
    </row>
    <row r="980" spans="1:2">
      <c r="A980" s="32">
        <v>45238</v>
      </c>
      <c r="B980" s="33">
        <v>0.15</v>
      </c>
    </row>
    <row r="981" spans="1:2">
      <c r="A981" s="32">
        <v>45239</v>
      </c>
      <c r="B981" s="33">
        <v>0.15</v>
      </c>
    </row>
    <row r="982" spans="1:2">
      <c r="A982" s="32">
        <v>45240</v>
      </c>
      <c r="B982" s="33">
        <v>0.15</v>
      </c>
    </row>
    <row r="983" spans="1:2">
      <c r="A983" s="32">
        <v>45243</v>
      </c>
      <c r="B983" s="33">
        <v>0.15</v>
      </c>
    </row>
    <row r="984" spans="1:2">
      <c r="A984" s="32">
        <v>45244</v>
      </c>
      <c r="B984" s="33">
        <v>0.15</v>
      </c>
    </row>
    <row r="985" spans="1:2">
      <c r="A985" s="32">
        <v>45245</v>
      </c>
      <c r="B985" s="33">
        <v>0.15</v>
      </c>
    </row>
    <row r="986" spans="1:2">
      <c r="A986" s="32">
        <v>45246</v>
      </c>
      <c r="B986" s="33">
        <v>0.15</v>
      </c>
    </row>
    <row r="987" spans="1:2">
      <c r="A987" s="32">
        <v>45247</v>
      </c>
      <c r="B987" s="33">
        <v>0.15</v>
      </c>
    </row>
    <row r="988" spans="1:2">
      <c r="A988" s="32">
        <v>45250</v>
      </c>
      <c r="B988" s="33">
        <v>0.15</v>
      </c>
    </row>
    <row r="989" spans="1:2">
      <c r="A989" s="32">
        <v>45251</v>
      </c>
      <c r="B989" s="33">
        <v>0.15</v>
      </c>
    </row>
    <row r="990" spans="1:2">
      <c r="A990" s="32">
        <v>45252</v>
      </c>
      <c r="B990" s="33">
        <v>0.15</v>
      </c>
    </row>
    <row r="991" spans="1:2">
      <c r="A991" s="32">
        <v>45253</v>
      </c>
      <c r="B991" s="33">
        <v>0.15</v>
      </c>
    </row>
    <row r="992" spans="1:2">
      <c r="A992" s="32">
        <v>45254</v>
      </c>
      <c r="B992" s="33">
        <v>0.15</v>
      </c>
    </row>
    <row r="993" spans="1:2">
      <c r="A993" s="32">
        <v>45257</v>
      </c>
      <c r="B993" s="33">
        <v>0.15</v>
      </c>
    </row>
    <row r="994" spans="1:2">
      <c r="A994" s="32">
        <v>45258</v>
      </c>
      <c r="B994" s="33">
        <v>0.15</v>
      </c>
    </row>
    <row r="995" spans="1:2">
      <c r="A995" s="32">
        <v>45259</v>
      </c>
      <c r="B995" s="33">
        <v>0.15</v>
      </c>
    </row>
    <row r="996" spans="1:2">
      <c r="A996" s="32">
        <v>45260</v>
      </c>
      <c r="B996" s="33">
        <v>0.15</v>
      </c>
    </row>
    <row r="997" spans="1:2">
      <c r="A997" s="32">
        <v>45261</v>
      </c>
      <c r="B997" s="33">
        <v>0.15</v>
      </c>
    </row>
    <row r="998" spans="1:2">
      <c r="A998" s="32">
        <v>45264</v>
      </c>
      <c r="B998" s="33">
        <v>0.15</v>
      </c>
    </row>
    <row r="999" spans="1:2">
      <c r="A999" s="32">
        <v>45265</v>
      </c>
      <c r="B999" s="33">
        <v>0.15</v>
      </c>
    </row>
    <row r="1000" spans="1:2">
      <c r="A1000" s="32">
        <v>45266</v>
      </c>
      <c r="B1000" s="33">
        <v>0.15</v>
      </c>
    </row>
    <row r="1001" spans="1:2">
      <c r="A1001" s="32">
        <v>45267</v>
      </c>
      <c r="B1001" s="33">
        <v>0.15</v>
      </c>
    </row>
    <row r="1002" spans="1:2">
      <c r="A1002" s="32">
        <v>45268</v>
      </c>
      <c r="B1002" s="33">
        <v>0.15</v>
      </c>
    </row>
    <row r="1003" spans="1:2">
      <c r="A1003" s="32">
        <v>45271</v>
      </c>
      <c r="B1003" s="33">
        <v>0.15</v>
      </c>
    </row>
    <row r="1004" spans="1:2">
      <c r="A1004" s="32">
        <v>45272</v>
      </c>
      <c r="B1004" s="33">
        <v>0.15</v>
      </c>
    </row>
    <row r="1005" spans="1:2">
      <c r="A1005" s="32">
        <v>45273</v>
      </c>
      <c r="B1005" s="33">
        <v>0.15</v>
      </c>
    </row>
    <row r="1006" spans="1:2">
      <c r="A1006" s="32">
        <v>45274</v>
      </c>
      <c r="B1006" s="33">
        <v>0.15</v>
      </c>
    </row>
    <row r="1007" spans="1:2">
      <c r="A1007" s="32">
        <v>45275</v>
      </c>
      <c r="B1007" s="33">
        <v>0.15</v>
      </c>
    </row>
    <row r="1008" spans="1:2">
      <c r="A1008" s="32">
        <v>45278</v>
      </c>
      <c r="B1008" s="33">
        <v>0.16</v>
      </c>
    </row>
    <row r="1009" spans="1:2">
      <c r="A1009" s="32">
        <v>45279</v>
      </c>
      <c r="B1009" s="33">
        <v>0.16</v>
      </c>
    </row>
    <row r="1010" spans="1:2">
      <c r="A1010" s="32">
        <v>45280</v>
      </c>
      <c r="B1010" s="33">
        <v>0.16</v>
      </c>
    </row>
    <row r="1011" spans="1:2">
      <c r="A1011" s="32">
        <v>45281</v>
      </c>
      <c r="B1011" s="33">
        <v>0.16</v>
      </c>
    </row>
    <row r="1012" spans="1:2">
      <c r="A1012" s="32">
        <v>45282</v>
      </c>
      <c r="B1012" s="33">
        <v>0.16</v>
      </c>
    </row>
    <row r="1013" spans="1:2">
      <c r="A1013" s="32">
        <v>45285</v>
      </c>
      <c r="B1013" s="33">
        <v>0.16</v>
      </c>
    </row>
    <row r="1014" spans="1:2">
      <c r="A1014" s="32">
        <v>45286</v>
      </c>
      <c r="B1014" s="33">
        <v>0.16</v>
      </c>
    </row>
    <row r="1015" spans="1:2">
      <c r="A1015" s="32">
        <v>45287</v>
      </c>
      <c r="B1015" s="33">
        <v>0.16</v>
      </c>
    </row>
    <row r="1016" spans="1:2">
      <c r="A1016" s="32">
        <v>45288</v>
      </c>
      <c r="B1016" s="33">
        <v>0.16</v>
      </c>
    </row>
    <row r="1017" spans="1:2">
      <c r="A1017" s="32">
        <v>45289</v>
      </c>
      <c r="B1017" s="33">
        <v>0.16</v>
      </c>
    </row>
    <row r="1018" spans="1:2">
      <c r="A1018" s="32">
        <v>45294</v>
      </c>
      <c r="B1018" s="33">
        <v>0.16</v>
      </c>
    </row>
    <row r="1019" spans="1:2">
      <c r="A1019" s="32">
        <v>45295</v>
      </c>
      <c r="B1019" s="33">
        <v>0.16</v>
      </c>
    </row>
    <row r="1020" spans="1:2">
      <c r="A1020" s="32">
        <v>45296</v>
      </c>
      <c r="B1020" s="33">
        <v>0.16</v>
      </c>
    </row>
    <row r="1021" spans="1:2">
      <c r="A1021" s="32">
        <v>45299</v>
      </c>
      <c r="B1021" s="33">
        <v>0.16</v>
      </c>
    </row>
    <row r="1022" spans="1:2">
      <c r="A1022" s="32">
        <v>45300</v>
      </c>
      <c r="B1022" s="33">
        <v>0.16</v>
      </c>
    </row>
    <row r="1023" spans="1:2">
      <c r="A1023" s="32">
        <v>45301</v>
      </c>
      <c r="B1023" s="33">
        <v>0.16</v>
      </c>
    </row>
    <row r="1024" spans="1:2">
      <c r="A1024" s="32">
        <v>45302</v>
      </c>
      <c r="B1024" s="33">
        <v>0.16</v>
      </c>
    </row>
    <row r="1025" spans="1:2">
      <c r="A1025" s="32">
        <v>45303</v>
      </c>
      <c r="B1025" s="33">
        <v>0.16</v>
      </c>
    </row>
    <row r="1026" spans="1:2">
      <c r="A1026" s="32">
        <v>45306</v>
      </c>
      <c r="B1026" s="33">
        <v>0.16</v>
      </c>
    </row>
    <row r="1027" spans="1:2">
      <c r="A1027" s="32">
        <v>45307</v>
      </c>
      <c r="B1027" s="33">
        <v>0.16</v>
      </c>
    </row>
    <row r="1028" spans="1:2">
      <c r="A1028" s="32">
        <v>45308</v>
      </c>
      <c r="B1028" s="33">
        <v>0.16</v>
      </c>
    </row>
    <row r="1029" spans="1:2">
      <c r="A1029" s="32">
        <v>45309</v>
      </c>
      <c r="B1029" s="33">
        <v>0.16</v>
      </c>
    </row>
    <row r="1030" spans="1:2">
      <c r="A1030" s="32">
        <v>45310</v>
      </c>
      <c r="B1030" s="33">
        <v>0.16</v>
      </c>
    </row>
    <row r="1031" spans="1:2">
      <c r="A1031" s="32">
        <v>45313</v>
      </c>
      <c r="B1031" s="33">
        <v>0.16</v>
      </c>
    </row>
    <row r="1032" spans="1:2">
      <c r="A1032" s="32">
        <v>45314</v>
      </c>
      <c r="B1032" s="33">
        <v>0.16</v>
      </c>
    </row>
    <row r="1033" spans="1:2">
      <c r="A1033" s="32">
        <v>45315</v>
      </c>
      <c r="B1033" s="33">
        <v>0.16</v>
      </c>
    </row>
    <row r="1034" spans="1:2">
      <c r="A1034" s="32">
        <v>45316</v>
      </c>
      <c r="B1034" s="33">
        <v>0.16</v>
      </c>
    </row>
    <row r="1035" spans="1:2">
      <c r="A1035" s="32">
        <v>45317</v>
      </c>
      <c r="B1035" s="33">
        <v>0.16</v>
      </c>
    </row>
    <row r="1036" spans="1:2">
      <c r="A1036" s="32">
        <v>45320</v>
      </c>
      <c r="B1036" s="33">
        <v>0.16</v>
      </c>
    </row>
    <row r="1037" spans="1:2">
      <c r="A1037" s="32">
        <v>45321</v>
      </c>
      <c r="B1037" s="33">
        <v>0.16</v>
      </c>
    </row>
    <row r="1038" spans="1:2">
      <c r="A1038" s="32">
        <v>45322</v>
      </c>
      <c r="B1038" s="33">
        <v>0.16</v>
      </c>
    </row>
    <row r="1039" spans="1:2">
      <c r="A1039" s="32">
        <v>45323</v>
      </c>
      <c r="B1039" s="33">
        <v>0.16</v>
      </c>
    </row>
    <row r="1040" spans="1:2">
      <c r="A1040" s="32">
        <v>45324</v>
      </c>
      <c r="B1040" s="33">
        <v>0.16</v>
      </c>
    </row>
    <row r="1041" spans="1:2">
      <c r="A1041" s="32">
        <v>45327</v>
      </c>
      <c r="B1041" s="33">
        <v>0.16</v>
      </c>
    </row>
    <row r="1042" spans="1:2">
      <c r="A1042" s="32">
        <v>45328</v>
      </c>
      <c r="B1042" s="33">
        <v>0.16</v>
      </c>
    </row>
    <row r="1043" spans="1:2">
      <c r="A1043" s="32">
        <v>45329</v>
      </c>
      <c r="B1043" s="33">
        <v>0.16</v>
      </c>
    </row>
    <row r="1044" spans="1:2">
      <c r="A1044" s="32">
        <v>45330</v>
      </c>
      <c r="B1044" s="33">
        <v>0.16</v>
      </c>
    </row>
    <row r="1045" spans="1:2">
      <c r="A1045" s="32">
        <v>45331</v>
      </c>
      <c r="B1045" s="33">
        <v>0.16</v>
      </c>
    </row>
    <row r="1046" spans="1:2">
      <c r="A1046" s="32">
        <v>45334</v>
      </c>
      <c r="B1046" s="33">
        <v>0.16</v>
      </c>
    </row>
    <row r="1047" spans="1:2">
      <c r="A1047" s="32">
        <v>45335</v>
      </c>
      <c r="B1047" s="33">
        <v>0.16</v>
      </c>
    </row>
    <row r="1048" spans="1:2">
      <c r="A1048" s="32">
        <v>45336</v>
      </c>
      <c r="B1048" s="33">
        <v>0.16</v>
      </c>
    </row>
    <row r="1049" spans="1:2">
      <c r="A1049" s="32">
        <v>45337</v>
      </c>
      <c r="B1049" s="33">
        <v>0.16</v>
      </c>
    </row>
    <row r="1050" spans="1:2">
      <c r="A1050" s="32">
        <v>45338</v>
      </c>
      <c r="B1050" s="33">
        <v>0.16</v>
      </c>
    </row>
    <row r="1051" spans="1:2">
      <c r="A1051" s="32">
        <v>45341</v>
      </c>
      <c r="B1051" s="33">
        <v>0.16</v>
      </c>
    </row>
    <row r="1052" spans="1:2">
      <c r="A1052" s="32">
        <v>45342</v>
      </c>
      <c r="B1052" s="33">
        <v>0.16</v>
      </c>
    </row>
    <row r="1053" spans="1:2">
      <c r="A1053" s="32">
        <v>45343</v>
      </c>
      <c r="B1053" s="33">
        <v>0.16</v>
      </c>
    </row>
    <row r="1054" spans="1:2">
      <c r="A1054" s="32">
        <v>45344</v>
      </c>
      <c r="B1054" s="33">
        <v>0.16</v>
      </c>
    </row>
    <row r="1055" spans="1:2">
      <c r="A1055" s="32">
        <v>45348</v>
      </c>
      <c r="B1055" s="33">
        <v>0.16</v>
      </c>
    </row>
    <row r="1056" spans="1:2">
      <c r="A1056" s="32">
        <v>45349</v>
      </c>
      <c r="B1056" s="33">
        <v>0.16</v>
      </c>
    </row>
    <row r="1057" spans="1:2">
      <c r="A1057" s="32">
        <v>45350</v>
      </c>
      <c r="B1057" s="33">
        <v>0.16</v>
      </c>
    </row>
    <row r="1058" spans="1:2">
      <c r="A1058" s="32">
        <v>45351</v>
      </c>
      <c r="B1058" s="33">
        <v>0.16</v>
      </c>
    </row>
    <row r="1059" spans="1:2">
      <c r="A1059" s="32">
        <v>45352</v>
      </c>
      <c r="B1059" s="33">
        <v>0.16</v>
      </c>
    </row>
    <row r="1060" spans="1:2">
      <c r="A1060" s="32">
        <v>45355</v>
      </c>
      <c r="B1060" s="33">
        <v>0.16</v>
      </c>
    </row>
    <row r="1061" spans="1:2">
      <c r="A1061" s="32">
        <v>45356</v>
      </c>
      <c r="B1061" s="33">
        <v>0.16</v>
      </c>
    </row>
    <row r="1062" spans="1:2">
      <c r="A1062" s="32">
        <v>45357</v>
      </c>
      <c r="B1062" s="33">
        <v>0.16</v>
      </c>
    </row>
    <row r="1063" spans="1:2">
      <c r="A1063" s="32">
        <v>45358</v>
      </c>
      <c r="B1063" s="33">
        <v>0.16</v>
      </c>
    </row>
    <row r="1064" spans="1:2">
      <c r="A1064" s="32">
        <v>45362</v>
      </c>
      <c r="B1064" s="33">
        <v>0.16</v>
      </c>
    </row>
    <row r="1065" spans="1:2">
      <c r="A1065" s="32">
        <v>45363</v>
      </c>
      <c r="B1065" s="33">
        <v>0.16</v>
      </c>
    </row>
    <row r="1066" spans="1:2">
      <c r="A1066" s="32">
        <v>45364</v>
      </c>
      <c r="B1066" s="33">
        <v>0.16</v>
      </c>
    </row>
    <row r="1067" spans="1:2">
      <c r="A1067" s="32">
        <v>45365</v>
      </c>
      <c r="B1067" s="33">
        <v>0.16</v>
      </c>
    </row>
    <row r="1068" spans="1:2">
      <c r="A1068" s="32">
        <v>45366</v>
      </c>
      <c r="B1068" s="33">
        <v>0.16</v>
      </c>
    </row>
    <row r="1069" spans="1:2">
      <c r="A1069" s="32">
        <v>45369</v>
      </c>
      <c r="B1069" s="33">
        <v>0.16</v>
      </c>
    </row>
    <row r="1070" spans="1:2">
      <c r="A1070" s="32">
        <v>45370</v>
      </c>
      <c r="B1070" s="33">
        <v>0.16</v>
      </c>
    </row>
    <row r="1071" spans="1:2">
      <c r="A1071" s="32">
        <v>45371</v>
      </c>
      <c r="B1071" s="33">
        <v>0.16</v>
      </c>
    </row>
    <row r="1072" spans="1:2">
      <c r="A1072" s="32">
        <v>45372</v>
      </c>
      <c r="B1072" s="33">
        <v>0.16</v>
      </c>
    </row>
    <row r="1073" spans="1:2">
      <c r="A1073" s="32">
        <v>45373</v>
      </c>
      <c r="B1073" s="33">
        <v>0.16</v>
      </c>
    </row>
    <row r="1074" spans="1:2">
      <c r="A1074" s="32">
        <v>45376</v>
      </c>
      <c r="B1074" s="33">
        <v>0.16</v>
      </c>
    </row>
    <row r="1075" spans="1:2">
      <c r="A1075" s="32">
        <v>45377</v>
      </c>
      <c r="B1075" s="33">
        <v>0.16</v>
      </c>
    </row>
    <row r="1076" spans="1:2">
      <c r="A1076" s="32">
        <v>45378</v>
      </c>
      <c r="B1076" s="33">
        <v>0.16</v>
      </c>
    </row>
    <row r="1077" spans="1:2">
      <c r="A1077" s="32">
        <v>45379</v>
      </c>
      <c r="B1077" s="33">
        <v>0.16</v>
      </c>
    </row>
    <row r="1078" spans="1:2">
      <c r="A1078" s="32">
        <v>45380</v>
      </c>
      <c r="B1078" s="33">
        <v>0.16</v>
      </c>
    </row>
    <row r="1079" spans="1:2">
      <c r="A1079" s="32">
        <v>45383</v>
      </c>
      <c r="B1079" s="33">
        <v>0.16</v>
      </c>
    </row>
    <row r="1080" spans="1:2">
      <c r="A1080" s="32">
        <v>45384</v>
      </c>
      <c r="B1080" s="33">
        <v>0.16</v>
      </c>
    </row>
    <row r="1081" spans="1:2">
      <c r="A1081" s="32">
        <v>45385</v>
      </c>
      <c r="B1081" s="33">
        <v>0.16</v>
      </c>
    </row>
    <row r="1082" spans="1:2">
      <c r="A1082" s="32">
        <v>45386</v>
      </c>
      <c r="B1082" s="33">
        <v>0.16</v>
      </c>
    </row>
    <row r="1083" spans="1:2">
      <c r="A1083" s="32">
        <v>45387</v>
      </c>
      <c r="B1083" s="33">
        <v>0.16</v>
      </c>
    </row>
    <row r="1084" spans="1:2">
      <c r="A1084" s="32">
        <v>45390</v>
      </c>
      <c r="B1084" s="33">
        <v>0.16</v>
      </c>
    </row>
    <row r="1085" spans="1:2">
      <c r="A1085" s="32">
        <v>45391</v>
      </c>
      <c r="B1085" s="33">
        <v>0.16</v>
      </c>
    </row>
    <row r="1086" spans="1:2">
      <c r="A1086" s="32">
        <v>45392</v>
      </c>
      <c r="B1086" s="33">
        <v>0.16</v>
      </c>
    </row>
    <row r="1087" spans="1:2">
      <c r="A1087" s="32">
        <v>45393</v>
      </c>
      <c r="B1087" s="33">
        <v>0.16</v>
      </c>
    </row>
    <row r="1088" spans="1:2">
      <c r="A1088" s="32">
        <v>45394</v>
      </c>
      <c r="B1088" s="33">
        <v>0.16</v>
      </c>
    </row>
    <row r="1089" spans="1:2">
      <c r="A1089" s="32">
        <v>45397</v>
      </c>
      <c r="B1089" s="33">
        <v>0.16</v>
      </c>
    </row>
    <row r="1090" spans="1:2">
      <c r="A1090" s="32">
        <v>45398</v>
      </c>
      <c r="B1090" s="33">
        <v>0.16</v>
      </c>
    </row>
    <row r="1091" spans="1:2">
      <c r="A1091" s="32">
        <v>45399</v>
      </c>
      <c r="B1091" s="33">
        <v>0.16</v>
      </c>
    </row>
    <row r="1092" spans="1:2">
      <c r="A1092" s="32">
        <v>45400</v>
      </c>
      <c r="B1092" s="33">
        <v>0.16</v>
      </c>
    </row>
    <row r="1093" spans="1:2">
      <c r="A1093" s="32">
        <v>45401</v>
      </c>
      <c r="B1093" s="33">
        <v>0.16</v>
      </c>
    </row>
    <row r="1094" spans="1:2">
      <c r="A1094" s="32">
        <v>45404</v>
      </c>
      <c r="B1094" s="33">
        <v>0.16</v>
      </c>
    </row>
    <row r="1095" spans="1:2">
      <c r="A1095" s="32">
        <v>45405</v>
      </c>
      <c r="B1095" s="33">
        <v>0.16</v>
      </c>
    </row>
    <row r="1096" spans="1:2">
      <c r="A1096" s="32">
        <v>45406</v>
      </c>
      <c r="B1096" s="33">
        <v>0.16</v>
      </c>
    </row>
    <row r="1097" spans="1:2">
      <c r="A1097" s="32">
        <v>45407</v>
      </c>
      <c r="B1097" s="33">
        <v>0.16</v>
      </c>
    </row>
    <row r="1098" spans="1:2">
      <c r="A1098" s="32">
        <v>45408</v>
      </c>
      <c r="B1098" s="33">
        <v>0.16</v>
      </c>
    </row>
    <row r="1099" spans="1:2">
      <c r="A1099" s="32">
        <v>45409</v>
      </c>
      <c r="B1099" s="33">
        <v>0.16</v>
      </c>
    </row>
    <row r="1100" spans="1:2">
      <c r="A1100" s="32">
        <v>45411</v>
      </c>
      <c r="B1100" s="33">
        <v>0.16</v>
      </c>
    </row>
    <row r="1101" spans="1:2">
      <c r="A1101" s="32">
        <v>45412</v>
      </c>
      <c r="B1101" s="33">
        <v>0.16</v>
      </c>
    </row>
    <row r="1102" spans="1:2">
      <c r="A1102" s="32">
        <v>45414</v>
      </c>
      <c r="B1102" s="33">
        <v>0.16</v>
      </c>
    </row>
    <row r="1103" spans="1:2">
      <c r="A1103" s="32">
        <v>45415</v>
      </c>
      <c r="B1103" s="33">
        <v>0.16</v>
      </c>
    </row>
    <row r="1104" spans="1:2">
      <c r="A1104" s="32">
        <v>45418</v>
      </c>
      <c r="B1104" s="33">
        <v>0.16</v>
      </c>
    </row>
    <row r="1105" spans="1:2">
      <c r="A1105" s="32">
        <v>45419</v>
      </c>
      <c r="B1105" s="33">
        <v>0.16</v>
      </c>
    </row>
    <row r="1106" spans="1:2">
      <c r="A1106" s="32">
        <v>45420</v>
      </c>
      <c r="B1106" s="33">
        <v>0.16</v>
      </c>
    </row>
    <row r="1107" spans="1:2">
      <c r="A1107" s="32">
        <v>45422</v>
      </c>
      <c r="B1107" s="33">
        <v>0.16</v>
      </c>
    </row>
    <row r="1108" spans="1:2">
      <c r="A1108" s="32">
        <v>45425</v>
      </c>
      <c r="B1108" s="33">
        <v>0.16</v>
      </c>
    </row>
    <row r="1109" spans="1:2">
      <c r="A1109" s="32">
        <v>45426</v>
      </c>
      <c r="B1109" s="33">
        <v>0.16</v>
      </c>
    </row>
    <row r="1110" spans="1:2">
      <c r="A1110" s="32">
        <v>45427</v>
      </c>
      <c r="B1110" s="33">
        <v>0.16</v>
      </c>
    </row>
    <row r="1111" spans="1:2">
      <c r="A1111" s="32">
        <v>45428</v>
      </c>
      <c r="B1111" s="33">
        <v>0.16</v>
      </c>
    </row>
    <row r="1112" spans="1:2">
      <c r="A1112" s="32">
        <v>45429</v>
      </c>
      <c r="B1112" s="33">
        <v>0.16</v>
      </c>
    </row>
    <row r="1113" spans="1:2">
      <c r="A1113" s="32">
        <v>45432</v>
      </c>
      <c r="B1113" s="33">
        <v>0.16</v>
      </c>
    </row>
    <row r="1114" spans="1:2">
      <c r="A1114" s="32">
        <v>45433</v>
      </c>
      <c r="B1114" s="33">
        <v>0.16</v>
      </c>
    </row>
    <row r="1115" spans="1:2">
      <c r="A1115" s="32">
        <v>45434</v>
      </c>
      <c r="B1115" s="33">
        <v>0.16</v>
      </c>
    </row>
    <row r="1116" spans="1:2">
      <c r="A1116" s="32">
        <v>45435</v>
      </c>
      <c r="B1116" s="33">
        <v>0.16</v>
      </c>
    </row>
    <row r="1117" spans="1:2">
      <c r="A1117" s="32">
        <v>45436</v>
      </c>
      <c r="B1117" s="33">
        <v>0.16</v>
      </c>
    </row>
    <row r="1118" spans="1:2">
      <c r="A1118" s="32">
        <v>45439</v>
      </c>
      <c r="B1118" s="33">
        <v>0.16</v>
      </c>
    </row>
    <row r="1119" spans="1:2">
      <c r="A1119" s="32">
        <v>45440</v>
      </c>
      <c r="B1119" s="33">
        <v>0.16</v>
      </c>
    </row>
    <row r="1120" spans="1:2">
      <c r="A1120" s="32">
        <v>45441</v>
      </c>
      <c r="B1120" s="33">
        <v>0.16</v>
      </c>
    </row>
    <row r="1121" spans="1:2">
      <c r="A1121" s="32">
        <v>45442</v>
      </c>
      <c r="B1121" s="33">
        <v>0.16</v>
      </c>
    </row>
    <row r="1122" spans="1:2">
      <c r="A1122" s="32">
        <v>45443</v>
      </c>
      <c r="B1122" s="33">
        <v>0.16</v>
      </c>
    </row>
    <row r="1123" spans="1:2">
      <c r="A1123" s="32">
        <v>45446</v>
      </c>
      <c r="B1123" s="33">
        <v>0.16</v>
      </c>
    </row>
    <row r="1124" spans="1:2">
      <c r="A1124" s="32">
        <v>45447</v>
      </c>
      <c r="B1124" s="33">
        <v>0.16</v>
      </c>
    </row>
    <row r="1125" spans="1:2">
      <c r="A1125" s="32">
        <v>45448</v>
      </c>
      <c r="B1125" s="33">
        <v>0.16</v>
      </c>
    </row>
    <row r="1126" spans="1:2">
      <c r="A1126" s="32">
        <v>45449</v>
      </c>
      <c r="B1126" s="33">
        <v>0.16</v>
      </c>
    </row>
    <row r="1127" spans="1:2">
      <c r="A1127" s="32">
        <v>45450</v>
      </c>
      <c r="B1127" s="33">
        <v>0.16</v>
      </c>
    </row>
    <row r="1128" spans="1:2">
      <c r="A1128" s="32">
        <v>45453</v>
      </c>
      <c r="B1128" s="33">
        <v>0.16</v>
      </c>
    </row>
    <row r="1129" spans="1:2">
      <c r="A1129" s="32">
        <v>45454</v>
      </c>
      <c r="B1129" s="33">
        <v>0.16</v>
      </c>
    </row>
    <row r="1130" spans="1:2">
      <c r="A1130" s="32">
        <v>45456</v>
      </c>
      <c r="B1130" s="33">
        <v>0.16</v>
      </c>
    </row>
    <row r="1131" spans="1:2">
      <c r="A1131" s="32">
        <v>45457</v>
      </c>
      <c r="B1131" s="33">
        <v>0.16</v>
      </c>
    </row>
    <row r="1132" spans="1:2">
      <c r="A1132" s="32">
        <v>45460</v>
      </c>
      <c r="B1132" s="33">
        <v>0.16</v>
      </c>
    </row>
    <row r="1133" spans="1:2">
      <c r="A1133" s="32">
        <v>45461</v>
      </c>
      <c r="B1133" s="33">
        <v>0.16</v>
      </c>
    </row>
    <row r="1134" spans="1:2">
      <c r="A1134" s="32">
        <v>45462</v>
      </c>
      <c r="B1134" s="33">
        <v>0.16</v>
      </c>
    </row>
    <row r="1135" spans="1:2">
      <c r="A1135" s="32">
        <v>45463</v>
      </c>
      <c r="B1135" s="33">
        <v>0.16</v>
      </c>
    </row>
    <row r="1136" spans="1:2">
      <c r="A1136" s="32">
        <v>45464</v>
      </c>
      <c r="B1136" s="33">
        <v>0.16</v>
      </c>
    </row>
    <row r="1137" spans="1:2">
      <c r="A1137" s="32">
        <v>45467</v>
      </c>
      <c r="B1137" s="33">
        <v>0.16</v>
      </c>
    </row>
    <row r="1138" spans="1:2">
      <c r="A1138" s="32">
        <v>45468</v>
      </c>
      <c r="B1138" s="33">
        <v>0.16</v>
      </c>
    </row>
    <row r="1139" spans="1:2">
      <c r="A1139" s="32">
        <v>45469</v>
      </c>
      <c r="B1139" s="33">
        <v>0.16</v>
      </c>
    </row>
    <row r="1140" spans="1:2">
      <c r="A1140" s="32">
        <v>45470</v>
      </c>
      <c r="B1140" s="33">
        <v>0.16</v>
      </c>
    </row>
    <row r="1141" spans="1:2">
      <c r="A1141" s="32">
        <v>45471</v>
      </c>
      <c r="B1141" s="33">
        <v>0.16</v>
      </c>
    </row>
    <row r="1142" spans="1:2">
      <c r="A1142" s="32">
        <v>45474</v>
      </c>
      <c r="B1142" s="33">
        <v>0.16</v>
      </c>
    </row>
    <row r="1143" spans="1:2">
      <c r="A1143" s="32">
        <v>45475</v>
      </c>
      <c r="B1143" s="33">
        <v>0.16</v>
      </c>
    </row>
    <row r="1144" spans="1:2">
      <c r="A1144" s="32">
        <v>45476</v>
      </c>
      <c r="B1144" s="33">
        <v>0.16</v>
      </c>
    </row>
    <row r="1145" spans="1:2">
      <c r="A1145" s="32">
        <v>45477</v>
      </c>
      <c r="B1145" s="33">
        <v>0.16</v>
      </c>
    </row>
    <row r="1146" spans="1:2">
      <c r="A1146" s="32">
        <v>45478</v>
      </c>
      <c r="B1146" s="33">
        <v>0.16</v>
      </c>
    </row>
    <row r="1147" spans="1:2">
      <c r="A1147" s="32">
        <v>45481</v>
      </c>
      <c r="B1147" s="33">
        <v>0.16</v>
      </c>
    </row>
    <row r="1148" spans="1:2">
      <c r="A1148" s="32">
        <v>45482</v>
      </c>
      <c r="B1148" s="33">
        <v>0.16</v>
      </c>
    </row>
    <row r="1149" spans="1:2">
      <c r="A1149" s="32">
        <v>45483</v>
      </c>
      <c r="B1149" s="33">
        <v>0.16</v>
      </c>
    </row>
    <row r="1150" spans="1:2">
      <c r="A1150" s="32">
        <v>45484</v>
      </c>
      <c r="B1150" s="33">
        <v>0.16</v>
      </c>
    </row>
    <row r="1151" spans="1:2">
      <c r="A1151" s="32">
        <v>45485</v>
      </c>
      <c r="B1151" s="33">
        <v>0.16</v>
      </c>
    </row>
    <row r="1152" spans="1:2">
      <c r="A1152" s="32">
        <v>45488</v>
      </c>
      <c r="B1152" s="33">
        <v>0.16</v>
      </c>
    </row>
    <row r="1153" spans="1:2">
      <c r="A1153" s="32">
        <v>45489</v>
      </c>
      <c r="B1153" s="33">
        <v>0.16</v>
      </c>
    </row>
    <row r="1154" spans="1:2">
      <c r="A1154" s="32">
        <v>45490</v>
      </c>
      <c r="B1154" s="33">
        <v>0.16</v>
      </c>
    </row>
    <row r="1155" spans="1:2">
      <c r="A1155" s="32">
        <v>45491</v>
      </c>
      <c r="B1155" s="33">
        <v>0.16</v>
      </c>
    </row>
    <row r="1156" spans="1:2">
      <c r="A1156" s="32">
        <v>45492</v>
      </c>
      <c r="B1156" s="33">
        <v>0.16</v>
      </c>
    </row>
    <row r="1157" spans="1:2">
      <c r="A1157" s="32">
        <v>45495</v>
      </c>
      <c r="B1157" s="33">
        <v>0.16</v>
      </c>
    </row>
    <row r="1158" spans="1:2">
      <c r="A1158" s="32">
        <v>45496</v>
      </c>
      <c r="B1158" s="33">
        <v>0.16</v>
      </c>
    </row>
    <row r="1159" spans="1:2">
      <c r="A1159" s="32">
        <v>45497</v>
      </c>
      <c r="B1159" s="33">
        <v>0.16</v>
      </c>
    </row>
    <row r="1160" spans="1:2">
      <c r="A1160" s="32">
        <v>45498</v>
      </c>
      <c r="B1160" s="33">
        <v>0.16</v>
      </c>
    </row>
    <row r="1161" spans="1:2">
      <c r="A1161" s="32">
        <v>45499</v>
      </c>
      <c r="B1161" s="33">
        <v>0.16</v>
      </c>
    </row>
    <row r="1162" spans="1:2">
      <c r="A1162" s="32">
        <v>45502</v>
      </c>
      <c r="B1162" s="33">
        <v>0.18</v>
      </c>
    </row>
    <row r="1163" spans="1:2">
      <c r="A1163" s="32">
        <v>45503</v>
      </c>
      <c r="B1163" s="33">
        <v>0.18</v>
      </c>
    </row>
    <row r="1164" spans="1:2">
      <c r="A1164" s="32">
        <v>45504</v>
      </c>
      <c r="B1164" s="33">
        <v>0.18</v>
      </c>
    </row>
    <row r="1165" spans="1:2">
      <c r="A1165" s="32">
        <v>45505</v>
      </c>
      <c r="B1165" s="33">
        <v>0.18</v>
      </c>
    </row>
    <row r="1166" spans="1:2">
      <c r="A1166" s="32">
        <v>45506</v>
      </c>
      <c r="B1166" s="33">
        <v>0.18</v>
      </c>
    </row>
    <row r="1167" spans="1:2">
      <c r="A1167" s="32">
        <v>45509</v>
      </c>
      <c r="B1167" s="33">
        <v>0.18</v>
      </c>
    </row>
    <row r="1168" spans="1:2">
      <c r="A1168" s="32">
        <v>45510</v>
      </c>
      <c r="B1168" s="33">
        <v>0.18</v>
      </c>
    </row>
    <row r="1169" spans="1:2">
      <c r="A1169" s="32">
        <v>45511</v>
      </c>
      <c r="B1169" s="33">
        <v>0.18</v>
      </c>
    </row>
    <row r="1170" spans="1:2">
      <c r="A1170" s="32">
        <v>45512</v>
      </c>
      <c r="B1170" s="33">
        <v>0.18</v>
      </c>
    </row>
    <row r="1171" spans="1:2">
      <c r="A1171" s="32">
        <v>45513</v>
      </c>
      <c r="B1171" s="33">
        <v>0.18</v>
      </c>
    </row>
    <row r="1172" spans="1:2">
      <c r="A1172" s="32">
        <v>45516</v>
      </c>
      <c r="B1172" s="33">
        <v>0.18</v>
      </c>
    </row>
    <row r="1173" spans="1:2">
      <c r="A1173" s="32">
        <v>45517</v>
      </c>
      <c r="B1173" s="33">
        <v>0.18</v>
      </c>
    </row>
    <row r="1174" spans="1:2">
      <c r="A1174" s="32">
        <v>45518</v>
      </c>
      <c r="B1174" s="33">
        <v>0.18</v>
      </c>
    </row>
    <row r="1175" spans="1:2">
      <c r="A1175" s="32">
        <v>45519</v>
      </c>
      <c r="B1175" s="33">
        <v>0.18</v>
      </c>
    </row>
    <row r="1176" spans="1:2">
      <c r="A1176" s="32">
        <v>45520</v>
      </c>
      <c r="B1176" s="33">
        <v>0.18</v>
      </c>
    </row>
    <row r="1177" spans="1:2">
      <c r="A1177" s="32">
        <v>45523</v>
      </c>
      <c r="B1177" s="33">
        <v>0.18</v>
      </c>
    </row>
    <row r="1178" spans="1:2">
      <c r="A1178" s="32">
        <v>45524</v>
      </c>
      <c r="B1178" s="33">
        <v>0.18</v>
      </c>
    </row>
    <row r="1179" spans="1:2">
      <c r="A1179" s="32">
        <v>45525</v>
      </c>
      <c r="B1179" s="33">
        <v>0.18</v>
      </c>
    </row>
    <row r="1180" spans="1:2">
      <c r="A1180" s="32">
        <v>45526</v>
      </c>
      <c r="B1180" s="33">
        <v>0.18</v>
      </c>
    </row>
    <row r="1181" spans="1:2">
      <c r="A1181" s="32">
        <v>45527</v>
      </c>
      <c r="B1181" s="33">
        <v>0.18</v>
      </c>
    </row>
    <row r="1182" spans="1:2">
      <c r="A1182" s="32">
        <v>45530</v>
      </c>
      <c r="B1182" s="33">
        <v>0.18</v>
      </c>
    </row>
    <row r="1183" spans="1:2">
      <c r="A1183" s="32">
        <v>45531</v>
      </c>
      <c r="B1183" s="33">
        <v>0.18</v>
      </c>
    </row>
    <row r="1184" spans="1:2">
      <c r="A1184" s="32">
        <v>45532</v>
      </c>
      <c r="B1184" s="33">
        <v>0.18</v>
      </c>
    </row>
    <row r="1185" spans="1:2">
      <c r="A1185" s="32">
        <v>45533</v>
      </c>
      <c r="B1185" s="33">
        <v>0.18</v>
      </c>
    </row>
    <row r="1186" spans="1:2">
      <c r="A1186" s="32">
        <v>45534</v>
      </c>
      <c r="B1186" s="33">
        <v>0.18</v>
      </c>
    </row>
    <row r="1187" spans="1:2">
      <c r="A1187" s="32">
        <v>45537</v>
      </c>
      <c r="B1187" s="33">
        <v>0.18</v>
      </c>
    </row>
    <row r="1188" spans="1:2">
      <c r="A1188" s="32">
        <v>45538</v>
      </c>
      <c r="B1188" s="33">
        <v>0.18</v>
      </c>
    </row>
    <row r="1189" spans="1:2">
      <c r="A1189" s="32">
        <v>45539</v>
      </c>
      <c r="B1189" s="33">
        <v>0.18</v>
      </c>
    </row>
    <row r="1190" spans="1:2">
      <c r="A1190" s="32">
        <v>45540</v>
      </c>
      <c r="B1190" s="33">
        <v>0.18</v>
      </c>
    </row>
    <row r="1191" spans="1:2">
      <c r="A1191" s="32">
        <v>45541</v>
      </c>
      <c r="B1191" s="33">
        <v>0.18</v>
      </c>
    </row>
    <row r="1192" spans="1:2">
      <c r="A1192" s="32">
        <v>45544</v>
      </c>
      <c r="B1192" s="33">
        <v>0.18</v>
      </c>
    </row>
    <row r="1193" spans="1:2">
      <c r="A1193" s="32">
        <v>45545</v>
      </c>
      <c r="B1193" s="33">
        <v>0.18</v>
      </c>
    </row>
    <row r="1194" spans="1:2">
      <c r="A1194" s="32">
        <v>45546</v>
      </c>
      <c r="B1194" s="33">
        <v>0.18</v>
      </c>
    </row>
    <row r="1195" spans="1:2">
      <c r="A1195" s="32">
        <v>45547</v>
      </c>
      <c r="B1195" s="33">
        <v>0.18</v>
      </c>
    </row>
    <row r="1196" spans="1:2">
      <c r="A1196" s="32">
        <v>45548</v>
      </c>
      <c r="B1196" s="33">
        <v>0.18</v>
      </c>
    </row>
    <row r="1197" spans="1:2">
      <c r="A1197" s="32">
        <v>45551</v>
      </c>
      <c r="B1197" s="33">
        <v>0.19</v>
      </c>
    </row>
    <row r="1198" spans="1:2">
      <c r="A1198" s="32">
        <v>45552</v>
      </c>
      <c r="B1198" s="33">
        <v>0.19</v>
      </c>
    </row>
    <row r="1199" spans="1:2">
      <c r="A1199" s="32">
        <v>45553</v>
      </c>
      <c r="B1199" s="33">
        <v>0.19</v>
      </c>
    </row>
    <row r="1200" spans="1:2">
      <c r="A1200" s="32">
        <v>45554</v>
      </c>
      <c r="B1200" s="33">
        <v>0.19</v>
      </c>
    </row>
    <row r="1201" spans="1:2">
      <c r="A1201" s="32">
        <v>45555</v>
      </c>
      <c r="B1201" s="33">
        <v>0.19</v>
      </c>
    </row>
    <row r="1202" spans="1:2">
      <c r="A1202" s="32">
        <v>45558</v>
      </c>
      <c r="B1202" s="33">
        <v>0.19</v>
      </c>
    </row>
    <row r="1203" spans="1:2">
      <c r="A1203" s="32">
        <v>45559</v>
      </c>
      <c r="B1203" s="33">
        <v>0.19</v>
      </c>
    </row>
    <row r="1204" spans="1:2">
      <c r="A1204" s="32">
        <v>45560</v>
      </c>
      <c r="B1204" s="33">
        <v>0.19</v>
      </c>
    </row>
    <row r="1205" spans="1:2">
      <c r="A1205" s="32">
        <v>45561</v>
      </c>
      <c r="B1205" s="33">
        <v>0.19</v>
      </c>
    </row>
    <row r="1206" spans="1:2">
      <c r="A1206" s="32">
        <v>45562</v>
      </c>
      <c r="B1206" s="33">
        <v>0.19</v>
      </c>
    </row>
    <row r="1207" spans="1:2">
      <c r="A1207" s="32">
        <v>45565</v>
      </c>
      <c r="B1207" s="33">
        <v>0.19</v>
      </c>
    </row>
    <row r="1208" spans="1:2">
      <c r="A1208" s="32">
        <v>45566</v>
      </c>
      <c r="B1208" s="33">
        <v>0.19</v>
      </c>
    </row>
    <row r="1209" spans="1:2">
      <c r="A1209" s="32">
        <v>45567</v>
      </c>
      <c r="B1209" s="33">
        <v>0.19</v>
      </c>
    </row>
    <row r="1210" spans="1:2">
      <c r="A1210" s="32">
        <v>45568</v>
      </c>
      <c r="B1210" s="33">
        <v>0.19</v>
      </c>
    </row>
    <row r="1211" spans="1:2">
      <c r="A1211" s="32">
        <v>45569</v>
      </c>
      <c r="B1211" s="33">
        <v>0.19</v>
      </c>
    </row>
    <row r="1212" spans="1:2">
      <c r="A1212" s="32">
        <v>45572</v>
      </c>
      <c r="B1212" s="33">
        <v>0.19</v>
      </c>
    </row>
    <row r="1213" spans="1:2">
      <c r="A1213" s="32">
        <v>45573</v>
      </c>
      <c r="B1213" s="33">
        <v>0.19</v>
      </c>
    </row>
    <row r="1214" spans="1:2">
      <c r="A1214" s="32">
        <v>45574</v>
      </c>
      <c r="B1214" s="33">
        <v>0.19</v>
      </c>
    </row>
    <row r="1215" spans="1:2">
      <c r="A1215" s="32">
        <v>45575</v>
      </c>
      <c r="B1215" s="33">
        <v>0.19</v>
      </c>
    </row>
    <row r="1216" spans="1:2">
      <c r="A1216" s="32">
        <v>45576</v>
      </c>
      <c r="B1216" s="33">
        <v>0.19</v>
      </c>
    </row>
    <row r="1217" spans="1:2">
      <c r="A1217" s="32">
        <v>45579</v>
      </c>
      <c r="B1217" s="33">
        <v>0.19</v>
      </c>
    </row>
    <row r="1218" spans="1:2">
      <c r="A1218" s="32">
        <v>45580</v>
      </c>
      <c r="B1218" s="33">
        <v>0.19</v>
      </c>
    </row>
    <row r="1219" spans="1:2">
      <c r="A1219" s="32">
        <v>45581</v>
      </c>
      <c r="B1219" s="33">
        <v>0.19</v>
      </c>
    </row>
    <row r="1220" spans="1:2">
      <c r="A1220" s="32">
        <v>45582</v>
      </c>
      <c r="B1220" s="33">
        <v>0.19</v>
      </c>
    </row>
    <row r="1221" spans="1:2">
      <c r="A1221" s="32">
        <v>45583</v>
      </c>
      <c r="B1221" s="33">
        <v>0.19</v>
      </c>
    </row>
    <row r="1222" spans="1:2">
      <c r="A1222" s="32">
        <v>45586</v>
      </c>
      <c r="B1222" s="33">
        <v>0.19</v>
      </c>
    </row>
    <row r="1223" spans="1:2">
      <c r="A1223" s="32">
        <v>45587</v>
      </c>
      <c r="B1223" s="33">
        <v>0.19</v>
      </c>
    </row>
    <row r="1224" spans="1:2">
      <c r="A1224" s="32">
        <v>45588</v>
      </c>
      <c r="B1224" s="33">
        <v>0.19</v>
      </c>
    </row>
    <row r="1225" spans="1:2">
      <c r="A1225" s="32">
        <v>45589</v>
      </c>
      <c r="B1225" s="33">
        <v>0.19</v>
      </c>
    </row>
    <row r="1226" spans="1:2">
      <c r="A1226" s="32">
        <v>45590</v>
      </c>
      <c r="B1226" s="33">
        <v>0.19</v>
      </c>
    </row>
    <row r="1227" spans="1:2">
      <c r="A1227" s="32">
        <v>45593</v>
      </c>
      <c r="B1227" s="33">
        <v>0.21</v>
      </c>
    </row>
    <row r="1228" spans="1:2">
      <c r="A1228" s="32">
        <v>45594</v>
      </c>
      <c r="B1228" s="33">
        <v>0.21</v>
      </c>
    </row>
    <row r="1229" spans="1:2">
      <c r="A1229" s="32">
        <v>45595</v>
      </c>
      <c r="B1229" s="33">
        <v>0.21</v>
      </c>
    </row>
    <row r="1230" spans="1:2">
      <c r="A1230" s="32">
        <v>45596</v>
      </c>
      <c r="B1230" s="33">
        <v>0.21</v>
      </c>
    </row>
    <row r="1231" spans="1:2">
      <c r="A1231" s="32">
        <v>45597</v>
      </c>
      <c r="B1231" s="33">
        <v>0.21</v>
      </c>
    </row>
    <row r="1232" spans="1:2">
      <c r="A1232" s="32">
        <v>45598</v>
      </c>
      <c r="B1232" s="33">
        <v>0.21</v>
      </c>
    </row>
    <row r="1233" spans="1:2">
      <c r="A1233" s="32">
        <v>45601</v>
      </c>
      <c r="B1233" s="33">
        <v>0.21</v>
      </c>
    </row>
    <row r="1234" spans="1:2">
      <c r="A1234" s="32">
        <v>45602</v>
      </c>
      <c r="B1234" s="33">
        <v>0.21</v>
      </c>
    </row>
    <row r="1235" spans="1:2">
      <c r="A1235" s="32">
        <v>45603</v>
      </c>
      <c r="B1235" s="33">
        <v>0.21</v>
      </c>
    </row>
    <row r="1236" spans="1:2">
      <c r="A1236" s="32">
        <v>45604</v>
      </c>
      <c r="B1236" s="33">
        <v>0.21</v>
      </c>
    </row>
    <row r="1237" spans="1:2">
      <c r="A1237" s="32">
        <v>45607</v>
      </c>
      <c r="B1237" s="33">
        <v>0.21</v>
      </c>
    </row>
    <row r="1238" spans="1:2">
      <c r="A1238" s="32">
        <v>45608</v>
      </c>
      <c r="B1238" s="33">
        <v>0.21</v>
      </c>
    </row>
    <row r="1239" spans="1:2">
      <c r="A1239" s="32">
        <v>45609</v>
      </c>
      <c r="B1239" s="33">
        <v>0.21</v>
      </c>
    </row>
    <row r="1240" spans="1:2">
      <c r="A1240" s="32">
        <v>45610</v>
      </c>
      <c r="B1240" s="33">
        <v>0.21</v>
      </c>
    </row>
    <row r="1241" spans="1:2">
      <c r="A1241" s="32">
        <v>45611</v>
      </c>
      <c r="B1241" s="33">
        <v>0.21</v>
      </c>
    </row>
    <row r="1242" spans="1:2">
      <c r="A1242" s="32">
        <v>45614</v>
      </c>
      <c r="B1242" s="33">
        <v>0.21</v>
      </c>
    </row>
    <row r="1243" spans="1:2">
      <c r="A1243" s="32">
        <v>45615</v>
      </c>
      <c r="B1243" s="33">
        <v>0.21</v>
      </c>
    </row>
    <row r="1244" spans="1:2">
      <c r="A1244" s="32">
        <v>45616</v>
      </c>
      <c r="B1244" s="33">
        <v>0.21</v>
      </c>
    </row>
    <row r="1245" spans="1:2">
      <c r="A1245" s="32">
        <v>45617</v>
      </c>
      <c r="B1245" s="33">
        <v>0.21</v>
      </c>
    </row>
    <row r="1246" spans="1:2">
      <c r="A1246" s="32">
        <v>45618</v>
      </c>
      <c r="B1246" s="33">
        <v>0.21</v>
      </c>
    </row>
    <row r="1247" spans="1:2">
      <c r="A1247" s="32">
        <v>45621</v>
      </c>
      <c r="B1247" s="33">
        <v>0.21</v>
      </c>
    </row>
    <row r="1248" spans="1:2">
      <c r="A1248" s="32">
        <v>45622</v>
      </c>
      <c r="B1248" s="33">
        <v>0.21</v>
      </c>
    </row>
    <row r="1249" spans="1:2">
      <c r="A1249" s="32">
        <v>45623</v>
      </c>
      <c r="B1249" s="33">
        <v>0.21</v>
      </c>
    </row>
    <row r="1250" spans="1:2">
      <c r="A1250" s="32">
        <v>45624</v>
      </c>
      <c r="B1250" s="33">
        <v>0.21</v>
      </c>
    </row>
    <row r="1251" spans="1:2">
      <c r="A1251" s="32">
        <v>45625</v>
      </c>
      <c r="B1251" s="33">
        <v>0.21</v>
      </c>
    </row>
    <row r="1252" spans="1:2">
      <c r="A1252" s="32">
        <v>45628</v>
      </c>
      <c r="B1252" s="33">
        <v>0.21</v>
      </c>
    </row>
    <row r="1253" spans="1:2">
      <c r="A1253" s="32">
        <v>45629</v>
      </c>
      <c r="B1253" s="33">
        <v>0.21</v>
      </c>
    </row>
    <row r="1254" spans="1:2">
      <c r="A1254" s="32">
        <v>45630</v>
      </c>
      <c r="B1254" s="33">
        <v>0.21</v>
      </c>
    </row>
    <row r="1255" spans="1:2">
      <c r="A1255" s="32">
        <v>45631</v>
      </c>
      <c r="B1255" s="33">
        <v>0.21</v>
      </c>
    </row>
    <row r="1256" spans="1:2">
      <c r="A1256" s="32">
        <v>45632</v>
      </c>
      <c r="B1256" s="33">
        <v>0.21</v>
      </c>
    </row>
    <row r="1257" spans="1:2">
      <c r="A1257" s="32">
        <v>45635</v>
      </c>
      <c r="B1257" s="33">
        <v>0.21</v>
      </c>
    </row>
    <row r="1258" spans="1:2">
      <c r="A1258" s="32">
        <v>45636</v>
      </c>
      <c r="B1258" s="33">
        <v>0.21</v>
      </c>
    </row>
    <row r="1259" spans="1:2">
      <c r="A1259" s="32">
        <v>45637</v>
      </c>
      <c r="B1259" s="33">
        <v>0.21</v>
      </c>
    </row>
    <row r="1260" spans="1:2">
      <c r="A1260" s="32">
        <v>45638</v>
      </c>
      <c r="B1260" s="33">
        <v>0.21</v>
      </c>
    </row>
    <row r="1261" spans="1:2">
      <c r="A1261" s="32">
        <v>45639</v>
      </c>
      <c r="B1261" s="33">
        <v>0.21</v>
      </c>
    </row>
    <row r="1262" spans="1:2">
      <c r="A1262" s="32">
        <v>45642</v>
      </c>
      <c r="B1262" s="33">
        <v>0.21</v>
      </c>
    </row>
    <row r="1263" spans="1:2">
      <c r="A1263" s="32">
        <v>45643</v>
      </c>
      <c r="B1263" s="33">
        <v>0.21</v>
      </c>
    </row>
    <row r="1264" spans="1:2">
      <c r="A1264" s="32">
        <v>45644</v>
      </c>
      <c r="B1264" s="33">
        <v>0.21</v>
      </c>
    </row>
    <row r="1265" spans="1:2">
      <c r="A1265" s="32">
        <v>45645</v>
      </c>
      <c r="B1265" s="33">
        <v>0.21</v>
      </c>
    </row>
    <row r="1266" spans="1:2">
      <c r="A1266" s="32">
        <v>45646</v>
      </c>
      <c r="B1266" s="33">
        <v>0.21</v>
      </c>
    </row>
    <row r="1267" spans="1:2">
      <c r="A1267" s="32">
        <v>45649</v>
      </c>
      <c r="B1267" s="33">
        <v>0.21</v>
      </c>
    </row>
    <row r="1268" spans="1:2">
      <c r="A1268" s="32">
        <v>45650</v>
      </c>
      <c r="B1268" s="33">
        <v>0.21</v>
      </c>
    </row>
    <row r="1269" spans="1:2">
      <c r="A1269" s="32">
        <v>45651</v>
      </c>
      <c r="B1269" s="33">
        <v>0.21</v>
      </c>
    </row>
    <row r="1270" spans="1:2">
      <c r="A1270" s="32">
        <v>45652</v>
      </c>
      <c r="B1270" s="33">
        <v>0.21</v>
      </c>
    </row>
    <row r="1271" spans="1:2">
      <c r="A1271" s="32">
        <v>45653</v>
      </c>
      <c r="B1271" s="33">
        <v>0.21</v>
      </c>
    </row>
    <row r="1272" spans="1:2">
      <c r="A1272" s="32">
        <v>45654</v>
      </c>
      <c r="B1272" s="33">
        <v>0.21</v>
      </c>
    </row>
    <row r="1273" spans="1:2">
      <c r="A1273" s="32">
        <v>45656</v>
      </c>
      <c r="B1273" s="33">
        <v>0.21</v>
      </c>
    </row>
    <row r="1274" spans="1:2">
      <c r="A1274" s="32">
        <v>45660</v>
      </c>
      <c r="B1274" s="33">
        <v>0.21</v>
      </c>
    </row>
    <row r="1275" spans="1:2">
      <c r="A1275" s="32">
        <v>45663</v>
      </c>
      <c r="B1275" s="33">
        <v>0.21</v>
      </c>
    </row>
    <row r="1276" spans="1:2">
      <c r="A1276" s="32">
        <v>45665</v>
      </c>
      <c r="B1276" s="33">
        <v>0.21</v>
      </c>
    </row>
    <row r="1277" spans="1:2">
      <c r="A1277" s="32">
        <v>45666</v>
      </c>
      <c r="B1277" s="33">
        <v>0.21</v>
      </c>
    </row>
    <row r="1278" spans="1:2">
      <c r="A1278" s="32">
        <v>45667</v>
      </c>
      <c r="B1278" s="33">
        <v>0.21</v>
      </c>
    </row>
    <row r="1279" spans="1:2">
      <c r="A1279" s="32">
        <v>45670</v>
      </c>
      <c r="B1279" s="33">
        <v>0.21</v>
      </c>
    </row>
    <row r="1280" spans="1:2">
      <c r="A1280" s="32">
        <v>45671</v>
      </c>
      <c r="B1280" s="33">
        <v>0.21</v>
      </c>
    </row>
    <row r="1281" spans="1:2">
      <c r="A1281" s="32">
        <v>45672</v>
      </c>
      <c r="B1281" s="33">
        <v>0.21</v>
      </c>
    </row>
    <row r="1282" spans="1:2">
      <c r="A1282" s="32">
        <v>45673</v>
      </c>
      <c r="B1282" s="33">
        <v>0.21</v>
      </c>
    </row>
    <row r="1283" spans="1:2">
      <c r="A1283" s="32">
        <v>45674</v>
      </c>
      <c r="B1283" s="33">
        <v>0.21</v>
      </c>
    </row>
    <row r="1284" spans="1:2">
      <c r="A1284" s="32">
        <v>45677</v>
      </c>
      <c r="B1284" s="33">
        <v>0.21</v>
      </c>
    </row>
    <row r="1285" spans="1:2">
      <c r="A1285" s="32">
        <v>45678</v>
      </c>
      <c r="B1285" s="33">
        <v>0.21</v>
      </c>
    </row>
    <row r="1286" spans="1:2">
      <c r="A1286" s="32">
        <v>45679</v>
      </c>
      <c r="B1286" s="33">
        <v>0.21</v>
      </c>
    </row>
    <row r="1287" spans="1:2">
      <c r="A1287" s="32">
        <v>45680</v>
      </c>
      <c r="B1287" s="33">
        <v>0.21</v>
      </c>
    </row>
    <row r="1288" spans="1:2">
      <c r="A1288" s="32">
        <v>45681</v>
      </c>
      <c r="B1288" s="33">
        <v>0.21</v>
      </c>
    </row>
    <row r="1289" spans="1:2">
      <c r="A1289" s="32">
        <v>45684</v>
      </c>
      <c r="B1289" s="33">
        <v>0.21</v>
      </c>
    </row>
    <row r="1290" spans="1:2">
      <c r="A1290" s="32">
        <v>45685</v>
      </c>
      <c r="B1290" s="33">
        <v>0.21</v>
      </c>
    </row>
    <row r="1291" spans="1:2">
      <c r="A1291" s="32">
        <v>45686</v>
      </c>
      <c r="B1291" s="33">
        <v>0.21</v>
      </c>
    </row>
    <row r="1292" spans="1:2">
      <c r="A1292" s="32">
        <v>45687</v>
      </c>
      <c r="B1292" s="33">
        <v>0.21</v>
      </c>
    </row>
    <row r="1293" spans="1:2">
      <c r="A1293" s="32">
        <v>45688</v>
      </c>
      <c r="B1293" s="33">
        <v>0.21</v>
      </c>
    </row>
    <row r="1294" spans="1:2">
      <c r="A1294" s="32">
        <v>45691</v>
      </c>
      <c r="B1294" s="33">
        <v>0.21</v>
      </c>
    </row>
    <row r="1295" spans="1:2">
      <c r="A1295" s="32">
        <v>45692</v>
      </c>
      <c r="B1295" s="33">
        <v>0.21</v>
      </c>
    </row>
    <row r="1296" spans="1:2">
      <c r="A1296" s="32">
        <v>45693</v>
      </c>
      <c r="B1296" s="33">
        <v>0.21</v>
      </c>
    </row>
    <row r="1297" spans="1:2">
      <c r="A1297" s="32">
        <v>45694</v>
      </c>
      <c r="B1297" s="33">
        <v>0.21</v>
      </c>
    </row>
    <row r="1298" spans="1:2">
      <c r="A1298" s="32">
        <v>45695</v>
      </c>
      <c r="B1298" s="33">
        <v>0.21</v>
      </c>
    </row>
    <row r="1299" spans="1:2">
      <c r="A1299" s="32">
        <v>45698</v>
      </c>
      <c r="B1299" s="33">
        <v>0.21</v>
      </c>
    </row>
    <row r="1300" spans="1:2">
      <c r="A1300" s="32">
        <v>45699</v>
      </c>
      <c r="B1300" s="33">
        <v>0.21</v>
      </c>
    </row>
    <row r="1301" spans="1:2">
      <c r="A1301" s="32">
        <v>45700</v>
      </c>
      <c r="B1301" s="33">
        <v>0.21</v>
      </c>
    </row>
    <row r="1302" spans="1:2">
      <c r="A1302" s="32">
        <v>45701</v>
      </c>
      <c r="B1302" s="33">
        <v>0.21</v>
      </c>
    </row>
    <row r="1303" spans="1:2">
      <c r="A1303" s="32">
        <v>45702</v>
      </c>
      <c r="B1303" s="33">
        <v>0.21</v>
      </c>
    </row>
    <row r="1304" spans="1:2">
      <c r="A1304" s="32">
        <v>45705</v>
      </c>
      <c r="B1304" s="33">
        <v>0.21</v>
      </c>
    </row>
    <row r="1305" spans="1:2">
      <c r="A1305" s="32">
        <v>45706</v>
      </c>
      <c r="B1305" s="33">
        <v>0.21</v>
      </c>
    </row>
    <row r="1306" spans="1:2">
      <c r="A1306" s="32">
        <v>45707</v>
      </c>
      <c r="B1306" s="33">
        <v>0.21</v>
      </c>
    </row>
    <row r="1307" spans="1:2">
      <c r="A1307" s="32">
        <v>45708</v>
      </c>
      <c r="B1307" s="33">
        <v>0.21</v>
      </c>
    </row>
    <row r="1308" spans="1:2">
      <c r="A1308" s="32">
        <v>45709</v>
      </c>
      <c r="B1308" s="33">
        <v>0.21</v>
      </c>
    </row>
    <row r="1309" spans="1:2">
      <c r="A1309" s="32">
        <v>45712</v>
      </c>
      <c r="B1309" s="33">
        <v>0.21</v>
      </c>
    </row>
    <row r="1310" spans="1:2">
      <c r="A1310" s="32">
        <v>45713</v>
      </c>
      <c r="B1310" s="33">
        <v>0.21</v>
      </c>
    </row>
    <row r="1311" spans="1:2">
      <c r="A1311" s="32">
        <v>45714</v>
      </c>
      <c r="B1311" s="33">
        <v>0.21</v>
      </c>
    </row>
    <row r="1312" spans="1:2">
      <c r="A1312" s="32">
        <v>45715</v>
      </c>
      <c r="B1312" s="33">
        <v>0.21</v>
      </c>
    </row>
    <row r="1313" spans="1:2">
      <c r="A1313" s="32">
        <v>45716</v>
      </c>
      <c r="B1313" s="33">
        <v>0.21</v>
      </c>
    </row>
    <row r="1314" spans="1:2">
      <c r="A1314" s="32">
        <v>45719</v>
      </c>
      <c r="B1314" s="33">
        <v>0.21</v>
      </c>
    </row>
    <row r="1315" spans="1:2">
      <c r="A1315" s="32">
        <v>45720</v>
      </c>
      <c r="B1315" s="33">
        <v>0.21</v>
      </c>
    </row>
    <row r="1316" spans="1:2">
      <c r="A1316" s="32">
        <v>45721</v>
      </c>
      <c r="B1316" s="33">
        <v>0.21</v>
      </c>
    </row>
    <row r="1317" spans="1:2">
      <c r="A1317" s="32">
        <v>45722</v>
      </c>
      <c r="B1317" s="33">
        <v>0.21</v>
      </c>
    </row>
    <row r="1318" spans="1:2">
      <c r="A1318" s="32">
        <v>45723</v>
      </c>
      <c r="B1318" s="33">
        <v>0.21</v>
      </c>
    </row>
    <row r="1319" spans="1:2">
      <c r="A1319" s="32">
        <v>45726</v>
      </c>
      <c r="B1319" s="33">
        <v>0.21</v>
      </c>
    </row>
    <row r="1320" spans="1:2">
      <c r="A1320" s="32">
        <v>45727</v>
      </c>
      <c r="B1320" s="33">
        <v>0.21</v>
      </c>
    </row>
    <row r="1321" spans="1:2">
      <c r="A1321" s="32">
        <v>45728</v>
      </c>
      <c r="B1321" s="33">
        <v>0.21</v>
      </c>
    </row>
    <row r="1322" spans="1:2">
      <c r="A1322" s="32">
        <v>45729</v>
      </c>
      <c r="B1322" s="33">
        <v>0.21</v>
      </c>
    </row>
    <row r="1323" spans="1:2">
      <c r="A1323" s="32">
        <v>45730</v>
      </c>
      <c r="B1323" s="33">
        <v>0.21</v>
      </c>
    </row>
    <row r="1324" spans="1:2">
      <c r="A1324" s="32">
        <v>45733</v>
      </c>
      <c r="B1324" s="33">
        <v>0.21</v>
      </c>
    </row>
    <row r="1325" spans="1:2">
      <c r="A1325" s="32">
        <v>45734</v>
      </c>
      <c r="B1325" s="33">
        <v>0.21</v>
      </c>
    </row>
    <row r="1326" spans="1:2">
      <c r="A1326" s="32">
        <v>45735</v>
      </c>
      <c r="B1326" s="33">
        <v>0.21</v>
      </c>
    </row>
    <row r="1327" spans="1:2">
      <c r="A1327" s="32">
        <v>45736</v>
      </c>
      <c r="B1327" s="33">
        <v>0.21</v>
      </c>
    </row>
    <row r="1328" spans="1:2">
      <c r="A1328" s="32">
        <v>45737</v>
      </c>
      <c r="B1328" s="33">
        <v>0.21</v>
      </c>
    </row>
    <row r="1329" spans="1:2">
      <c r="A1329" s="32">
        <v>45740</v>
      </c>
      <c r="B1329" s="33">
        <v>0.21</v>
      </c>
    </row>
    <row r="1330" spans="1:2">
      <c r="A1330" s="32">
        <v>45741</v>
      </c>
      <c r="B1330" s="33">
        <v>0.21</v>
      </c>
    </row>
    <row r="1331" spans="1:2">
      <c r="A1331" s="32">
        <v>45742</v>
      </c>
      <c r="B1331" s="33">
        <v>0.21</v>
      </c>
    </row>
    <row r="1332" spans="1:2">
      <c r="A1332" s="32">
        <v>45743</v>
      </c>
      <c r="B1332" s="33">
        <v>0.21</v>
      </c>
    </row>
    <row r="1333" spans="1:2">
      <c r="A1333" s="32">
        <v>45744</v>
      </c>
      <c r="B1333" s="33">
        <v>0.21</v>
      </c>
    </row>
    <row r="1334" spans="1:2">
      <c r="A1334" s="32">
        <v>45747</v>
      </c>
      <c r="B1334" s="33">
        <v>0.21</v>
      </c>
    </row>
    <row r="1335" spans="1:2">
      <c r="A1335" s="32">
        <v>45748</v>
      </c>
      <c r="B1335" s="33">
        <v>0.21</v>
      </c>
    </row>
    <row r="1336" spans="1:2">
      <c r="A1336" s="32">
        <v>45749</v>
      </c>
      <c r="B1336" s="33">
        <v>0.21</v>
      </c>
    </row>
    <row r="1337" spans="1:2">
      <c r="A1337" s="32">
        <v>45750</v>
      </c>
      <c r="B1337" s="33">
        <v>0.21</v>
      </c>
    </row>
    <row r="1338" spans="1:2">
      <c r="A1338" s="32">
        <v>45751</v>
      </c>
      <c r="B1338" s="33">
        <v>0.21</v>
      </c>
    </row>
    <row r="1339" spans="1:2">
      <c r="A1339" s="32">
        <v>45754</v>
      </c>
      <c r="B1339" s="33">
        <v>0.21</v>
      </c>
    </row>
    <row r="1340" spans="1:2">
      <c r="A1340" s="32">
        <v>45755</v>
      </c>
      <c r="B1340" s="33">
        <v>0.21</v>
      </c>
    </row>
    <row r="1341" spans="1:2">
      <c r="A1341" s="32">
        <v>45756</v>
      </c>
      <c r="B1341" s="33">
        <v>0.21</v>
      </c>
    </row>
    <row r="1342" spans="1:2">
      <c r="A1342" s="32">
        <v>45757</v>
      </c>
      <c r="B1342" s="33">
        <v>0.21</v>
      </c>
    </row>
    <row r="1343" spans="1:2">
      <c r="A1343" s="32">
        <v>45758</v>
      </c>
      <c r="B1343" s="33">
        <v>0.21</v>
      </c>
    </row>
    <row r="1344" spans="1:2">
      <c r="A1344" s="32">
        <v>45761</v>
      </c>
      <c r="B1344" s="33">
        <v>0.21</v>
      </c>
    </row>
    <row r="1345" spans="1:2">
      <c r="A1345" s="32">
        <v>45762</v>
      </c>
      <c r="B1345" s="33">
        <v>0.21</v>
      </c>
    </row>
    <row r="1346" spans="1:2">
      <c r="A1346" s="32">
        <v>45763</v>
      </c>
      <c r="B1346" s="33">
        <v>0.21</v>
      </c>
    </row>
    <row r="1347" spans="1:2">
      <c r="A1347" s="32">
        <v>45764</v>
      </c>
      <c r="B1347" s="33">
        <v>0.21</v>
      </c>
    </row>
    <row r="1348" spans="1:2">
      <c r="A1348" s="32">
        <v>45765</v>
      </c>
      <c r="B1348" s="33">
        <v>0.21</v>
      </c>
    </row>
    <row r="1349" spans="1:2">
      <c r="A1349" s="32">
        <v>45768</v>
      </c>
      <c r="B1349" s="33">
        <v>0.21</v>
      </c>
    </row>
    <row r="1350" spans="1:2">
      <c r="A1350" s="32">
        <v>45769</v>
      </c>
      <c r="B1350" s="33">
        <v>0.21</v>
      </c>
    </row>
    <row r="1351" spans="1:2">
      <c r="A1351" s="32">
        <v>45770</v>
      </c>
      <c r="B1351" s="33">
        <v>0.21</v>
      </c>
    </row>
    <row r="1352" spans="1:2">
      <c r="A1352" s="32">
        <v>45771</v>
      </c>
      <c r="B1352" s="33">
        <v>0.21</v>
      </c>
    </row>
    <row r="1353" spans="1:2">
      <c r="A1353" s="32">
        <v>45772</v>
      </c>
      <c r="B1353" s="33">
        <v>0.21</v>
      </c>
    </row>
    <row r="1354" spans="1:2">
      <c r="A1354" s="32">
        <v>45775</v>
      </c>
      <c r="B1354" s="33">
        <v>0.21</v>
      </c>
    </row>
    <row r="1355" spans="1:2">
      <c r="A1355" s="32">
        <v>45776</v>
      </c>
      <c r="B1355" s="33">
        <v>0.21</v>
      </c>
    </row>
    <row r="1356" spans="1:2">
      <c r="A1356" s="32">
        <v>45777</v>
      </c>
      <c r="B1356" s="33">
        <v>0.21</v>
      </c>
    </row>
    <row r="1357" spans="1:2">
      <c r="A1357" s="32">
        <v>45779</v>
      </c>
      <c r="B1357" s="33">
        <v>0.21</v>
      </c>
    </row>
    <row r="1358" spans="1:2">
      <c r="A1358" s="32">
        <v>45782</v>
      </c>
      <c r="B1358" s="33">
        <v>0.21</v>
      </c>
    </row>
    <row r="1359" spans="1:2">
      <c r="A1359" s="32">
        <v>45783</v>
      </c>
      <c r="B1359" s="33">
        <v>0.21</v>
      </c>
    </row>
    <row r="1360" spans="1:2">
      <c r="A1360" s="32">
        <v>45784</v>
      </c>
      <c r="B1360" s="33">
        <v>0.21</v>
      </c>
    </row>
    <row r="1361" spans="1:2">
      <c r="A1361" s="32">
        <v>45785</v>
      </c>
      <c r="B1361" s="33">
        <v>0.21</v>
      </c>
    </row>
    <row r="1362" spans="1:2">
      <c r="A1362" s="32">
        <v>45789</v>
      </c>
      <c r="B1362" s="33">
        <v>0.21</v>
      </c>
    </row>
    <row r="1363" spans="1:2">
      <c r="A1363" s="32">
        <v>45790</v>
      </c>
      <c r="B1363" s="33">
        <v>0.21</v>
      </c>
    </row>
    <row r="1364" spans="1:2">
      <c r="A1364" s="32">
        <v>45791</v>
      </c>
      <c r="B1364" s="33">
        <v>0.21</v>
      </c>
    </row>
    <row r="1365" spans="1:2">
      <c r="A1365" s="32">
        <v>45792</v>
      </c>
      <c r="B1365" s="33">
        <v>0.21</v>
      </c>
    </row>
    <row r="1366" spans="1:2">
      <c r="A1366" s="32">
        <v>45793</v>
      </c>
      <c r="B1366" s="33">
        <v>0.21</v>
      </c>
    </row>
    <row r="1367" spans="1:2">
      <c r="A1367" s="32">
        <v>45796</v>
      </c>
      <c r="B1367" s="33">
        <v>0.21</v>
      </c>
    </row>
    <row r="1368" spans="1:2">
      <c r="A1368" s="32">
        <v>45797</v>
      </c>
      <c r="B1368" s="33">
        <v>0.21</v>
      </c>
    </row>
    <row r="1369" spans="1:2">
      <c r="A1369" s="32">
        <v>45798</v>
      </c>
      <c r="B1369" s="33">
        <v>0.21</v>
      </c>
    </row>
    <row r="1370" spans="1:2">
      <c r="A1370" s="32">
        <v>45799</v>
      </c>
      <c r="B1370" s="33">
        <v>0.21</v>
      </c>
    </row>
    <row r="1371" spans="1:2">
      <c r="A1371" s="32">
        <v>45800</v>
      </c>
      <c r="B1371" s="33">
        <v>0.21</v>
      </c>
    </row>
    <row r="1372" spans="1:2">
      <c r="A1372" s="32">
        <v>45803</v>
      </c>
      <c r="B1372" s="33">
        <v>0.21</v>
      </c>
    </row>
    <row r="1373" spans="1:2">
      <c r="A1373" s="32">
        <v>45804</v>
      </c>
      <c r="B1373" s="33">
        <v>0.21</v>
      </c>
    </row>
    <row r="1374" spans="1:2">
      <c r="A1374" s="32">
        <v>45805</v>
      </c>
      <c r="B1374" s="33">
        <v>0.21</v>
      </c>
    </row>
    <row r="1375" spans="1:2">
      <c r="A1375" s="32">
        <v>45806</v>
      </c>
      <c r="B1375" s="33">
        <v>0.21</v>
      </c>
    </row>
    <row r="1376" spans="1:2">
      <c r="A1376" s="32">
        <v>45807</v>
      </c>
      <c r="B1376" s="33">
        <v>0.21</v>
      </c>
    </row>
    <row r="1377" spans="1:2">
      <c r="A1377" s="32">
        <v>45810</v>
      </c>
      <c r="B1377" s="33">
        <v>0.21</v>
      </c>
    </row>
    <row r="1378" spans="1:2">
      <c r="A1378" s="32">
        <v>45811</v>
      </c>
      <c r="B1378" s="33">
        <v>0.21</v>
      </c>
    </row>
    <row r="1379" spans="1:2">
      <c r="A1379" s="32">
        <v>45812</v>
      </c>
      <c r="B1379" s="33">
        <v>0.21</v>
      </c>
    </row>
    <row r="1380" spans="1:2">
      <c r="A1380" s="32">
        <v>45813</v>
      </c>
      <c r="B1380" s="33">
        <v>0.21</v>
      </c>
    </row>
    <row r="1381" spans="1:2">
      <c r="A1381" s="32">
        <v>45814</v>
      </c>
      <c r="B1381" s="33">
        <v>0.21</v>
      </c>
    </row>
    <row r="1382" spans="1:2">
      <c r="A1382" s="32">
        <v>45817</v>
      </c>
      <c r="B1382" s="33">
        <v>0.2</v>
      </c>
    </row>
    <row r="1383" spans="1:2">
      <c r="A1383" s="32">
        <v>45818</v>
      </c>
      <c r="B1383" s="33">
        <v>0.2</v>
      </c>
    </row>
    <row r="1384" spans="1:2">
      <c r="A1384" s="32">
        <v>45819</v>
      </c>
      <c r="B1384" s="33">
        <v>0.2</v>
      </c>
    </row>
    <row r="1385" spans="1:2">
      <c r="A1385" s="32">
        <v>45821</v>
      </c>
      <c r="B1385" s="33">
        <v>0.2</v>
      </c>
    </row>
    <row r="1386" spans="1:2">
      <c r="A1386" s="32">
        <v>45824</v>
      </c>
      <c r="B1386" s="33">
        <v>0.2</v>
      </c>
    </row>
    <row r="1387" spans="1:2">
      <c r="A1387" s="32">
        <v>45825</v>
      </c>
      <c r="B1387" s="33">
        <v>0.2</v>
      </c>
    </row>
    <row r="1388" spans="1:2">
      <c r="A1388" s="32">
        <v>45826</v>
      </c>
      <c r="B1388" s="33">
        <v>0.2</v>
      </c>
    </row>
    <row r="1389" spans="1:2">
      <c r="A1389" s="32">
        <v>45827</v>
      </c>
      <c r="B1389" s="33">
        <v>0.2</v>
      </c>
    </row>
    <row r="1390" spans="1:2">
      <c r="A1390" s="32">
        <v>45828</v>
      </c>
      <c r="B1390" s="33">
        <v>0.2</v>
      </c>
    </row>
    <row r="1391" spans="1:2">
      <c r="A1391" s="32">
        <v>45831</v>
      </c>
      <c r="B1391" s="33">
        <v>0.2</v>
      </c>
    </row>
    <row r="1392" spans="1:2">
      <c r="A1392" s="32">
        <v>45832</v>
      </c>
      <c r="B1392" s="33">
        <v>0.2</v>
      </c>
    </row>
    <row r="1393" spans="1:2">
      <c r="A1393" s="32">
        <v>45833</v>
      </c>
      <c r="B1393" s="33">
        <v>0.2</v>
      </c>
    </row>
    <row r="1394" spans="1:2">
      <c r="A1394" s="32">
        <v>45834</v>
      </c>
      <c r="B1394" s="33">
        <v>0.2</v>
      </c>
    </row>
    <row r="1395" spans="1:2">
      <c r="A1395" s="32">
        <v>45835</v>
      </c>
      <c r="B1395" s="33">
        <v>0.2</v>
      </c>
    </row>
    <row r="1396" spans="1:2">
      <c r="A1396" s="32">
        <v>45838</v>
      </c>
      <c r="B1396" s="33">
        <v>0.2</v>
      </c>
    </row>
    <row r="1397" spans="1:2">
      <c r="A1397" s="32">
        <v>45839</v>
      </c>
      <c r="B1397" s="33">
        <v>0.2</v>
      </c>
    </row>
    <row r="1398" spans="1:2">
      <c r="A1398" s="32">
        <v>45840</v>
      </c>
      <c r="B1398" s="33">
        <v>0.2</v>
      </c>
    </row>
    <row r="1399" spans="1:2">
      <c r="A1399" s="32">
        <v>45841</v>
      </c>
      <c r="B1399" s="33">
        <v>0.2</v>
      </c>
    </row>
    <row r="1400" spans="1:2">
      <c r="A1400" s="32">
        <v>45842</v>
      </c>
      <c r="B1400" s="33">
        <v>0.2</v>
      </c>
    </row>
    <row r="1401" spans="1:2">
      <c r="A1401" s="32">
        <v>45845</v>
      </c>
      <c r="B1401" s="33">
        <v>0.2</v>
      </c>
    </row>
    <row r="1402" spans="1:2">
      <c r="A1402" s="32">
        <v>45846</v>
      </c>
      <c r="B1402" s="33">
        <v>0.2</v>
      </c>
    </row>
    <row r="1403" spans="1:2">
      <c r="A1403" s="32">
        <v>45847</v>
      </c>
      <c r="B1403" s="33">
        <v>0.2</v>
      </c>
    </row>
    <row r="1404" spans="1:2">
      <c r="A1404" s="32">
        <v>45848</v>
      </c>
      <c r="B1404" s="33">
        <v>0.2</v>
      </c>
    </row>
    <row r="1405" spans="1:2">
      <c r="A1405" s="32">
        <v>45849</v>
      </c>
      <c r="B1405" s="33">
        <v>0.2</v>
      </c>
    </row>
    <row r="1406" spans="1:2">
      <c r="A1406" s="32">
        <v>45852</v>
      </c>
      <c r="B1406" s="33">
        <v>0.2</v>
      </c>
    </row>
    <row r="1407" spans="1:2">
      <c r="A1407" s="32">
        <v>45853</v>
      </c>
      <c r="B1407" s="33">
        <v>0.2</v>
      </c>
    </row>
    <row r="1408" spans="1:2">
      <c r="A1408" s="32">
        <v>45854</v>
      </c>
      <c r="B1408" s="33">
        <v>0.2</v>
      </c>
    </row>
    <row r="1409" spans="1:2">
      <c r="A1409" s="32">
        <v>45855</v>
      </c>
      <c r="B1409" s="33">
        <v>0.2</v>
      </c>
    </row>
    <row r="1410" spans="1:2">
      <c r="A1410" s="32">
        <v>45856</v>
      </c>
      <c r="B1410" s="33">
        <v>0.2</v>
      </c>
    </row>
    <row r="1411" spans="1:2">
      <c r="A1411" s="32">
        <v>45859</v>
      </c>
      <c r="B1411" s="33">
        <v>0.2</v>
      </c>
    </row>
    <row r="1412" spans="1:2">
      <c r="A1412" s="32">
        <v>45860</v>
      </c>
      <c r="B1412" s="33">
        <v>0.2</v>
      </c>
    </row>
    <row r="1413" spans="1:2">
      <c r="A1413" s="32">
        <v>45861</v>
      </c>
      <c r="B1413" s="33">
        <v>0.2</v>
      </c>
    </row>
    <row r="1414" spans="1:2">
      <c r="A1414" s="32">
        <v>45862</v>
      </c>
      <c r="B1414" s="33">
        <v>0.2</v>
      </c>
    </row>
    <row r="1415" spans="1:2">
      <c r="A1415" s="32">
        <v>45863</v>
      </c>
      <c r="B1415" s="33">
        <v>0.2</v>
      </c>
    </row>
    <row r="1416" spans="1:2">
      <c r="A1416" s="32">
        <v>45866</v>
      </c>
      <c r="B1416" s="33">
        <v>0.18</v>
      </c>
    </row>
    <row r="1417" spans="1:2">
      <c r="A1417" s="32">
        <v>45867</v>
      </c>
      <c r="B1417" s="33">
        <v>0.18</v>
      </c>
    </row>
    <row r="1418" spans="1:2">
      <c r="A1418" s="32">
        <v>45868</v>
      </c>
      <c r="B1418" s="33">
        <v>0.18</v>
      </c>
    </row>
    <row r="1419" spans="1:2">
      <c r="A1419" s="32">
        <v>45869</v>
      </c>
      <c r="B1419" s="33">
        <v>0.18</v>
      </c>
    </row>
    <row r="1420" spans="1:2">
      <c r="A1420" s="32">
        <v>45870</v>
      </c>
      <c r="B1420" s="33">
        <v>0.18</v>
      </c>
    </row>
    <row r="1421" spans="1:2">
      <c r="A1421" s="32">
        <v>45873</v>
      </c>
      <c r="B1421" s="33">
        <v>0.18</v>
      </c>
    </row>
    <row r="1422" spans="1:2">
      <c r="A1422" s="32">
        <v>45874</v>
      </c>
      <c r="B1422" s="33">
        <v>0.18</v>
      </c>
    </row>
    <row r="1423" spans="1:2">
      <c r="A1423" s="32">
        <v>45875</v>
      </c>
      <c r="B1423" s="33">
        <v>0.18</v>
      </c>
    </row>
    <row r="1424" spans="1:2">
      <c r="A1424" s="32">
        <v>45876</v>
      </c>
      <c r="B1424" s="33">
        <v>0.18</v>
      </c>
    </row>
    <row r="1425" spans="1:2">
      <c r="A1425" s="32">
        <v>45877</v>
      </c>
      <c r="B1425" s="33">
        <v>0.18</v>
      </c>
    </row>
    <row r="1426" spans="1:2">
      <c r="A1426" s="32">
        <v>45880</v>
      </c>
      <c r="B1426" s="33">
        <v>0.18</v>
      </c>
    </row>
    <row r="1427" spans="1:2">
      <c r="A1427" s="32">
        <v>45881</v>
      </c>
      <c r="B1427" s="33">
        <v>0.18</v>
      </c>
    </row>
    <row r="1428" spans="1:2">
      <c r="A1428" s="32">
        <v>45882</v>
      </c>
      <c r="B1428" s="33">
        <v>0.18</v>
      </c>
    </row>
    <row r="1429" spans="1:2">
      <c r="A1429" s="32">
        <v>45883</v>
      </c>
      <c r="B1429" s="33">
        <v>0.18</v>
      </c>
    </row>
    <row r="1430" spans="1:2">
      <c r="A1430" s="32">
        <v>45884</v>
      </c>
      <c r="B1430" s="33">
        <v>0.18</v>
      </c>
    </row>
    <row r="1431" spans="1:2">
      <c r="A1431" s="32">
        <v>45887</v>
      </c>
      <c r="B1431" s="33">
        <v>0.18</v>
      </c>
    </row>
    <row r="1432" spans="1:2">
      <c r="A1432" s="32">
        <v>45888</v>
      </c>
      <c r="B1432" s="33">
        <v>0.18</v>
      </c>
    </row>
    <row r="1433" spans="1:2">
      <c r="A1433" s="32">
        <v>45889</v>
      </c>
      <c r="B1433" s="33">
        <v>0.18</v>
      </c>
    </row>
    <row r="1434" spans="1:2">
      <c r="A1434" s="32">
        <v>45890</v>
      </c>
      <c r="B1434" s="33">
        <v>0.18</v>
      </c>
    </row>
    <row r="1435" spans="1:2">
      <c r="A1435" s="32">
        <v>45891</v>
      </c>
      <c r="B1435" s="33">
        <v>0.18</v>
      </c>
    </row>
    <row r="1436" spans="1:2">
      <c r="A1436" s="32">
        <v>45894</v>
      </c>
      <c r="B1436" s="33">
        <v>0.18</v>
      </c>
    </row>
    <row r="1437" spans="1:2">
      <c r="A1437" s="32">
        <v>45895</v>
      </c>
      <c r="B1437" s="33">
        <v>0.18</v>
      </c>
    </row>
    <row r="1438" spans="1:2">
      <c r="A1438" s="32">
        <v>45896</v>
      </c>
      <c r="B1438" s="33">
        <v>0.18</v>
      </c>
    </row>
    <row r="1439" spans="1:2">
      <c r="A1439" s="32">
        <v>45897</v>
      </c>
      <c r="B1439" s="33">
        <v>0.18</v>
      </c>
    </row>
    <row r="1440" spans="1:2">
      <c r="A1440" s="32">
        <v>45898</v>
      </c>
      <c r="B1440" s="33">
        <v>0.18</v>
      </c>
    </row>
    <row r="1441" spans="1:2">
      <c r="A1441" s="32">
        <v>45901</v>
      </c>
      <c r="B1441" s="33">
        <v>0.18</v>
      </c>
    </row>
    <row r="1442" spans="1:2">
      <c r="A1442" s="32">
        <v>45902</v>
      </c>
      <c r="B1442" s="33">
        <v>0.18</v>
      </c>
    </row>
    <row r="1443" spans="1:2">
      <c r="A1443" s="32">
        <v>45903</v>
      </c>
      <c r="B1443" s="33">
        <v>0.18</v>
      </c>
    </row>
    <row r="1444" spans="1:2">
      <c r="A1444" s="32">
        <v>45904</v>
      </c>
      <c r="B1444" s="33">
        <v>0.18</v>
      </c>
    </row>
    <row r="1445" spans="1:2">
      <c r="A1445" s="32">
        <v>45905</v>
      </c>
      <c r="B1445" s="33">
        <v>0.18</v>
      </c>
    </row>
    <row r="1446" spans="1:2">
      <c r="A1446" s="32">
        <v>45908</v>
      </c>
      <c r="B1446" s="33">
        <v>0.18</v>
      </c>
    </row>
    <row r="1447" spans="1:2">
      <c r="A1447" s="32">
        <v>45909</v>
      </c>
      <c r="B1447" s="33">
        <v>0.18</v>
      </c>
    </row>
    <row r="1448" spans="1:2">
      <c r="A1448" s="32">
        <v>45910</v>
      </c>
      <c r="B1448" s="33">
        <v>0.18</v>
      </c>
    </row>
    <row r="1449" spans="1:2">
      <c r="A1449" s="32">
        <v>45911</v>
      </c>
      <c r="B1449" s="33">
        <v>0.18</v>
      </c>
    </row>
    <row r="1450" spans="1:2">
      <c r="A1450" s="32">
        <v>45912</v>
      </c>
      <c r="B1450" s="33">
        <v>0.18</v>
      </c>
    </row>
    <row r="1451" spans="1:2">
      <c r="A1451" s="32">
        <v>45915</v>
      </c>
      <c r="B1451" s="33">
        <v>0.17</v>
      </c>
    </row>
    <row r="1452" spans="1:2">
      <c r="A1452" s="32">
        <v>45916</v>
      </c>
      <c r="B1452" s="33">
        <v>0.17</v>
      </c>
    </row>
    <row r="1453" spans="1:2">
      <c r="A1453" s="32">
        <v>45917</v>
      </c>
      <c r="B1453" s="33">
        <v>0.17</v>
      </c>
    </row>
    <row r="1454" spans="1:2">
      <c r="A1454" s="32">
        <v>45918</v>
      </c>
      <c r="B1454" s="33">
        <v>0.17</v>
      </c>
    </row>
    <row r="1455" spans="1:2">
      <c r="A1455" s="32">
        <v>45919</v>
      </c>
      <c r="B1455" s="33">
        <v>0.17</v>
      </c>
    </row>
    <row r="1456" spans="1:2">
      <c r="A1456" s="32">
        <v>45922</v>
      </c>
      <c r="B1456" s="33">
        <v>0.17</v>
      </c>
    </row>
    <row r="1457" spans="1:2">
      <c r="A1457" s="32">
        <v>45923</v>
      </c>
      <c r="B1457" s="33">
        <v>0.17</v>
      </c>
    </row>
    <row r="1458" spans="1:2">
      <c r="A1458" s="32">
        <v>45924</v>
      </c>
      <c r="B1458" s="33">
        <v>0.17</v>
      </c>
    </row>
    <row r="1459" spans="1:2">
      <c r="A1459" s="32">
        <v>45925</v>
      </c>
      <c r="B1459" s="33">
        <v>0.17</v>
      </c>
    </row>
    <row r="1460" spans="1:2">
      <c r="A1460" s="32">
        <v>45926</v>
      </c>
      <c r="B1460" s="33">
        <v>0.17</v>
      </c>
    </row>
    <row r="1461" spans="1:2">
      <c r="A1461" s="32">
        <v>45929</v>
      </c>
      <c r="B1461" s="33">
        <v>0.17</v>
      </c>
    </row>
    <row r="1462" spans="1:2">
      <c r="A1462" s="32">
        <v>45930</v>
      </c>
      <c r="B1462" s="33">
        <v>0.17</v>
      </c>
    </row>
    <row r="1463" spans="1:2">
      <c r="A1463" s="32">
        <v>45931</v>
      </c>
      <c r="B1463" s="33">
        <v>0.17</v>
      </c>
    </row>
    <row r="1464" spans="1:2">
      <c r="A1464" s="32">
        <v>45932</v>
      </c>
      <c r="B1464" s="33">
        <v>0.17</v>
      </c>
    </row>
    <row r="1465" spans="1:2">
      <c r="A1465" s="32">
        <v>45933</v>
      </c>
      <c r="B1465" s="33">
        <v>0.17</v>
      </c>
    </row>
    <row r="1466" spans="1:2">
      <c r="A1466" s="32">
        <v>45936</v>
      </c>
      <c r="B1466" s="33">
        <v>0.17</v>
      </c>
    </row>
    <row r="1467" spans="1:2">
      <c r="A1467" s="32">
        <v>45937</v>
      </c>
      <c r="B1467" s="33">
        <v>0.17</v>
      </c>
    </row>
    <row r="1468" spans="1:2">
      <c r="A1468" s="32">
        <v>45938</v>
      </c>
      <c r="B1468" s="33">
        <v>0.17</v>
      </c>
    </row>
    <row r="1469" spans="1:2">
      <c r="A1469" s="32">
        <v>45939</v>
      </c>
      <c r="B1469" s="33">
        <v>0.17</v>
      </c>
    </row>
    <row r="1470" spans="1:2">
      <c r="A1470" s="32">
        <v>45940</v>
      </c>
      <c r="B1470" s="33">
        <v>0.17</v>
      </c>
    </row>
    <row r="1471" spans="1:2">
      <c r="A1471" s="32">
        <v>45943</v>
      </c>
      <c r="B1471" s="33">
        <v>0.17</v>
      </c>
    </row>
    <row r="1472" spans="1:2">
      <c r="A1472" s="32">
        <v>45944</v>
      </c>
      <c r="B1472" s="33">
        <v>0.17</v>
      </c>
    </row>
    <row r="1473" spans="1:2">
      <c r="A1473" s="32">
        <v>45945</v>
      </c>
      <c r="B1473" s="33">
        <v>0.17</v>
      </c>
    </row>
    <row r="1474" spans="1:2">
      <c r="A1474" s="32">
        <v>45946</v>
      </c>
      <c r="B1474" s="33">
        <v>0.17</v>
      </c>
    </row>
    <row r="1475" spans="1:2">
      <c r="A1475" s="32">
        <v>45947</v>
      </c>
      <c r="B1475" s="33">
        <v>0.17</v>
      </c>
    </row>
    <row r="1476" spans="1:2">
      <c r="A1476" s="32">
        <v>45950</v>
      </c>
      <c r="B1476" s="33">
        <v>0.17</v>
      </c>
    </row>
    <row r="1477" spans="1:2">
      <c r="A1477" s="32">
        <v>45951</v>
      </c>
      <c r="B1477" s="33">
        <v>0.17</v>
      </c>
    </row>
    <row r="1478" spans="1:2">
      <c r="A1478" s="32">
        <v>45952</v>
      </c>
      <c r="B1478" s="33">
        <v>0.17</v>
      </c>
    </row>
    <row r="1479" spans="1:2">
      <c r="A1479" s="32">
        <v>45953</v>
      </c>
      <c r="B1479" s="33">
        <v>0.17</v>
      </c>
    </row>
    <row r="1480" spans="1:2">
      <c r="A1480" s="32">
        <v>45954</v>
      </c>
      <c r="B1480" s="33">
        <v>0.17</v>
      </c>
    </row>
    <row r="1481" spans="1:2">
      <c r="A1481" s="32">
        <v>45957</v>
      </c>
      <c r="B1481" s="33">
        <v>0.16500000000000001</v>
      </c>
    </row>
    <row r="1482" spans="1:2">
      <c r="A1482" s="32">
        <v>45958</v>
      </c>
      <c r="B1482" s="33">
        <v>0.16500000000000001</v>
      </c>
    </row>
    <row r="1483" spans="1:2">
      <c r="A1483" s="32">
        <v>45959</v>
      </c>
      <c r="B1483" s="33">
        <v>0.16500000000000001</v>
      </c>
    </row>
    <row r="1484" spans="1:2">
      <c r="A1484" s="32">
        <v>45960</v>
      </c>
      <c r="B1484" s="33">
        <v>0.16500000000000001</v>
      </c>
    </row>
    <row r="1485" spans="1:2">
      <c r="A1485" s="32">
        <v>45961</v>
      </c>
      <c r="B1485" s="33">
        <v>0.16500000000000001</v>
      </c>
    </row>
    <row r="1486" spans="1:2">
      <c r="A1486" s="32">
        <v>45962</v>
      </c>
      <c r="B1486" s="33">
        <v>0.16500000000000001</v>
      </c>
    </row>
    <row r="1487" spans="1:2">
      <c r="A1487" s="32">
        <v>45964</v>
      </c>
      <c r="B1487" s="33">
        <v>0.16500000000000001</v>
      </c>
    </row>
    <row r="1488" spans="1:2">
      <c r="A1488" s="32">
        <v>45966</v>
      </c>
      <c r="B1488" s="33">
        <v>0.16500000000000001</v>
      </c>
    </row>
    <row r="1489" spans="1:2">
      <c r="A1489" s="32">
        <v>45967</v>
      </c>
      <c r="B1489" s="33">
        <v>0.16500000000000001</v>
      </c>
    </row>
    <row r="1490" spans="1:2">
      <c r="A1490" s="32">
        <v>45968</v>
      </c>
      <c r="B1490" s="33">
        <v>0.16500000000000001</v>
      </c>
    </row>
    <row r="1491" spans="1:2">
      <c r="A1491" s="32">
        <v>45971</v>
      </c>
      <c r="B1491" s="33">
        <v>0.16500000000000001</v>
      </c>
    </row>
    <row r="1492" spans="1:2">
      <c r="A1492" s="32">
        <v>45972</v>
      </c>
      <c r="B1492" s="33">
        <v>0.16500000000000001</v>
      </c>
    </row>
    <row r="1493" spans="1:2">
      <c r="A1493" s="32">
        <v>45973</v>
      </c>
      <c r="B1493" s="33">
        <v>0.16500000000000001</v>
      </c>
    </row>
    <row r="1494" spans="1:2">
      <c r="A1494" s="32">
        <v>45974</v>
      </c>
      <c r="B1494" s="33">
        <v>0.16500000000000001</v>
      </c>
    </row>
    <row r="1495" spans="1:2">
      <c r="A1495" s="32">
        <v>45975</v>
      </c>
      <c r="B1495" s="33">
        <v>0.16500000000000001</v>
      </c>
    </row>
    <row r="1496" spans="1:2">
      <c r="A1496" s="32">
        <v>45978</v>
      </c>
      <c r="B1496" s="33">
        <v>0.16500000000000001</v>
      </c>
    </row>
    <row r="1497" spans="1:2">
      <c r="A1497" s="32">
        <v>45979</v>
      </c>
      <c r="B1497" s="33">
        <v>0.16500000000000001</v>
      </c>
    </row>
    <row r="1498" spans="1:2">
      <c r="A1498" s="32">
        <v>45980</v>
      </c>
      <c r="B1498" s="33">
        <v>0.16500000000000001</v>
      </c>
    </row>
    <row r="1499" spans="1:2">
      <c r="A1499" s="32">
        <v>45981</v>
      </c>
      <c r="B1499" s="33">
        <v>0.16500000000000001</v>
      </c>
    </row>
    <row r="1500" spans="1:2">
      <c r="A1500" s="32">
        <v>45982</v>
      </c>
      <c r="B1500" s="33">
        <v>0.16500000000000001</v>
      </c>
    </row>
    <row r="1501" spans="1:2">
      <c r="A1501" s="32">
        <v>45985</v>
      </c>
      <c r="B1501" s="33">
        <v>0.16500000000000001</v>
      </c>
    </row>
    <row r="1502" spans="1:2">
      <c r="A1502" s="32">
        <v>45986</v>
      </c>
      <c r="B1502" s="33">
        <v>0.16500000000000001</v>
      </c>
    </row>
    <row r="1503" spans="1:2">
      <c r="A1503" s="32">
        <v>45987</v>
      </c>
      <c r="B1503" s="33">
        <v>0.16500000000000001</v>
      </c>
    </row>
    <row r="1504" spans="1:2">
      <c r="A1504" s="32">
        <v>45988</v>
      </c>
      <c r="B1504" s="33">
        <v>0.16500000000000001</v>
      </c>
    </row>
    <row r="1505" spans="1:2">
      <c r="A1505" s="32">
        <v>45989</v>
      </c>
      <c r="B1505" s="33">
        <v>0.16500000000000001</v>
      </c>
    </row>
    <row r="1506" spans="1:2">
      <c r="A1506" s="32">
        <v>45992</v>
      </c>
      <c r="B1506" s="33">
        <v>0.16500000000000001</v>
      </c>
    </row>
    <row r="1507" spans="1:2">
      <c r="A1507" s="32">
        <v>45993</v>
      </c>
      <c r="B1507" s="33">
        <v>0.16500000000000001</v>
      </c>
    </row>
    <row r="1508" spans="1:2">
      <c r="A1508" s="32">
        <v>45994</v>
      </c>
      <c r="B1508" s="33">
        <v>0.16500000000000001</v>
      </c>
    </row>
    <row r="1509" spans="1:2">
      <c r="A1509" s="32">
        <v>45995</v>
      </c>
      <c r="B1509" s="33">
        <v>0.16500000000000001</v>
      </c>
    </row>
    <row r="1510" spans="1:2">
      <c r="A1510" s="32">
        <v>45996</v>
      </c>
      <c r="B1510" s="33">
        <v>0.16500000000000001</v>
      </c>
    </row>
    <row r="1511" spans="1:2">
      <c r="A1511" s="32">
        <v>45999</v>
      </c>
      <c r="B1511" s="33">
        <v>0.16500000000000001</v>
      </c>
    </row>
    <row r="1512" spans="1:2">
      <c r="A1512" s="32">
        <v>46000</v>
      </c>
      <c r="B1512" s="33">
        <v>0.16500000000000001</v>
      </c>
    </row>
    <row r="1513" spans="1:2">
      <c r="A1513" s="32">
        <v>46001</v>
      </c>
      <c r="B1513" s="33">
        <v>0.16500000000000001</v>
      </c>
    </row>
    <row r="1514" spans="1:2">
      <c r="A1514" s="32">
        <v>46002</v>
      </c>
      <c r="B1514" s="33">
        <v>0.16500000000000001</v>
      </c>
    </row>
    <row r="1515" spans="1:2">
      <c r="A1515" s="32">
        <v>46003</v>
      </c>
      <c r="B1515" s="33">
        <v>0.16500000000000001</v>
      </c>
    </row>
    <row r="1516" spans="1:2">
      <c r="A1516" s="32">
        <v>46006</v>
      </c>
      <c r="B1516" s="33">
        <v>0.16500000000000001</v>
      </c>
    </row>
    <row r="1517" spans="1:2">
      <c r="A1517" s="32">
        <v>46007</v>
      </c>
      <c r="B1517" s="33">
        <v>0.16500000000000001</v>
      </c>
    </row>
    <row r="1518" spans="1:2">
      <c r="A1518" s="32">
        <v>46008</v>
      </c>
      <c r="B1518" s="33">
        <v>0.16500000000000001</v>
      </c>
    </row>
    <row r="1519" spans="1:2">
      <c r="A1519" s="32">
        <v>46009</v>
      </c>
      <c r="B1519" s="33">
        <v>0.16500000000000001</v>
      </c>
    </row>
    <row r="1520" spans="1:2">
      <c r="A1520" s="32">
        <v>46010</v>
      </c>
      <c r="B1520" s="33">
        <v>0.16500000000000001</v>
      </c>
    </row>
    <row r="1521" spans="1:2">
      <c r="A1521" s="32">
        <v>46013</v>
      </c>
      <c r="B1521" s="33">
        <v>0.16</v>
      </c>
    </row>
    <row r="1522" spans="1:2">
      <c r="A1522" s="32">
        <v>46014</v>
      </c>
      <c r="B1522" s="33">
        <v>0.16</v>
      </c>
    </row>
    <row r="1523" spans="1:2">
      <c r="A1523" s="32">
        <v>46015</v>
      </c>
      <c r="B1523" s="33">
        <v>0.16</v>
      </c>
    </row>
    <row r="1524" spans="1:2">
      <c r="A1524" s="32">
        <v>46016</v>
      </c>
      <c r="B1524" s="33">
        <v>0.16</v>
      </c>
    </row>
    <row r="1525" spans="1:2">
      <c r="A1525" s="32">
        <v>46017</v>
      </c>
      <c r="B1525" s="33">
        <v>0.16</v>
      </c>
    </row>
    <row r="1526" spans="1:2">
      <c r="A1526" s="32">
        <v>46020</v>
      </c>
      <c r="B1526" s="33">
        <v>0.16</v>
      </c>
    </row>
    <row r="1527" spans="1:2">
      <c r="A1527" s="32">
        <v>46021</v>
      </c>
      <c r="B1527" s="33">
        <v>0.16</v>
      </c>
    </row>
    <row r="1528" spans="1:2">
      <c r="A1528" s="32">
        <v>46027</v>
      </c>
      <c r="B1528" s="33">
        <v>0.16</v>
      </c>
    </row>
    <row r="1529" spans="1:2">
      <c r="A1529" s="32">
        <v>46028</v>
      </c>
      <c r="B1529" s="33">
        <v>0.16</v>
      </c>
    </row>
    <row r="1530" spans="1:2">
      <c r="A1530" s="32">
        <v>46030</v>
      </c>
      <c r="B1530" s="33">
        <v>0.16</v>
      </c>
    </row>
    <row r="1531" spans="1:2">
      <c r="A1531" s="32">
        <v>46031</v>
      </c>
      <c r="B1531" s="33">
        <v>0.16</v>
      </c>
    </row>
    <row r="1532" spans="1:2">
      <c r="A1532" s="32">
        <v>46034</v>
      </c>
      <c r="B1532" s="33">
        <v>0.16</v>
      </c>
    </row>
    <row r="1533" spans="1:2">
      <c r="A1533" s="32">
        <v>46035</v>
      </c>
      <c r="B1533" s="33">
        <v>0.16</v>
      </c>
    </row>
    <row r="1534" spans="1:2">
      <c r="A1534" s="32">
        <v>46036</v>
      </c>
      <c r="B1534" s="33">
        <v>0.16</v>
      </c>
    </row>
    <row r="1535" spans="1:2">
      <c r="A1535" s="32">
        <v>46037</v>
      </c>
      <c r="B1535" s="33">
        <v>0.16</v>
      </c>
    </row>
    <row r="1536" spans="1:2">
      <c r="A1536" s="32">
        <v>46038</v>
      </c>
      <c r="B1536" s="33">
        <v>0.16</v>
      </c>
    </row>
    <row r="1537" spans="1:2">
      <c r="A1537" s="32">
        <v>46041</v>
      </c>
      <c r="B1537" s="33">
        <v>0.16</v>
      </c>
    </row>
    <row r="1538" spans="1:2">
      <c r="A1538" s="32">
        <v>46042</v>
      </c>
      <c r="B1538" s="33">
        <v>0.16</v>
      </c>
    </row>
    <row r="1539" spans="1:2">
      <c r="A1539" s="32">
        <v>46043</v>
      </c>
      <c r="B1539" s="33">
        <v>0.16</v>
      </c>
    </row>
    <row r="1540" spans="1:2">
      <c r="A1540" s="32">
        <v>46044</v>
      </c>
      <c r="B1540" s="33">
        <v>0.16</v>
      </c>
    </row>
    <row r="1541" spans="1:2">
      <c r="A1541" s="32">
        <v>46045</v>
      </c>
      <c r="B1541" s="33">
        <v>0.16</v>
      </c>
    </row>
    <row r="1542" spans="1:2">
      <c r="A1542" s="32">
        <v>46048</v>
      </c>
      <c r="B1542" s="33">
        <v>0.16</v>
      </c>
    </row>
    <row r="1543" spans="1:2">
      <c r="A1543" s="32">
        <v>46049</v>
      </c>
      <c r="B1543" s="33">
        <v>0.16</v>
      </c>
    </row>
    <row r="1544" spans="1:2">
      <c r="A1544" s="32">
        <v>46050</v>
      </c>
      <c r="B1544" s="33">
        <v>0.16</v>
      </c>
    </row>
    <row r="1545" spans="1:2">
      <c r="A1545" s="32">
        <v>46051</v>
      </c>
      <c r="B1545" s="33">
        <v>0.16</v>
      </c>
    </row>
    <row r="1546" spans="1:2">
      <c r="A1546" s="32">
        <v>46052</v>
      </c>
      <c r="B1546" s="33">
        <v>0.16</v>
      </c>
    </row>
    <row r="1547" spans="1:2">
      <c r="A1547" s="32">
        <v>46055</v>
      </c>
      <c r="B1547" s="33">
        <v>0.16</v>
      </c>
    </row>
    <row r="1548" spans="1:2">
      <c r="A1548" s="32">
        <v>46056</v>
      </c>
      <c r="B1548" s="33">
        <v>0.16</v>
      </c>
    </row>
    <row r="1549" spans="1:2">
      <c r="A1549" s="32">
        <v>46057</v>
      </c>
      <c r="B1549" s="33">
        <v>0.16</v>
      </c>
    </row>
    <row r="1550" spans="1:2">
      <c r="A1550" s="32">
        <v>46058</v>
      </c>
      <c r="B1550" s="33">
        <v>0.16</v>
      </c>
    </row>
    <row r="1551" spans="1:2">
      <c r="A1551" s="32">
        <v>46059</v>
      </c>
      <c r="B1551" s="33">
        <v>0.16</v>
      </c>
    </row>
    <row r="1552" spans="1:2">
      <c r="A1552" s="32">
        <v>46062</v>
      </c>
      <c r="B1552" s="33">
        <v>0.16</v>
      </c>
    </row>
    <row r="1553" spans="1:2">
      <c r="A1553" s="32">
        <v>46063</v>
      </c>
      <c r="B1553" s="33">
        <v>0.16</v>
      </c>
    </row>
    <row r="1554" spans="1:2">
      <c r="A1554" s="32">
        <v>46064</v>
      </c>
      <c r="B1554" s="33">
        <v>0.16</v>
      </c>
    </row>
    <row r="1555" spans="1:2">
      <c r="A1555" s="32">
        <v>46065</v>
      </c>
      <c r="B1555" s="33">
        <v>0.16</v>
      </c>
    </row>
    <row r="1556" spans="1:2">
      <c r="A1556" s="32">
        <v>46066</v>
      </c>
      <c r="B1556" s="33">
        <v>0.16</v>
      </c>
    </row>
    <row r="1557" spans="1:2">
      <c r="A1557" s="32">
        <v>46069</v>
      </c>
      <c r="B1557" s="33">
        <v>0.155</v>
      </c>
    </row>
    <row r="1558" spans="1:2">
      <c r="A1558" s="32">
        <v>46070</v>
      </c>
      <c r="B1558" s="33">
        <v>0.155</v>
      </c>
    </row>
    <row r="1559" spans="1:2">
      <c r="A1559" s="32">
        <v>46071</v>
      </c>
      <c r="B1559" s="33">
        <v>0.155</v>
      </c>
    </row>
    <row r="1560" spans="1:2">
      <c r="A1560" s="32">
        <v>46072</v>
      </c>
      <c r="B1560" s="33">
        <v>0.155</v>
      </c>
    </row>
    <row r="1561" spans="1:2">
      <c r="A1561" s="32">
        <v>46073</v>
      </c>
      <c r="B1561" s="33">
        <v>0.155</v>
      </c>
    </row>
    <row r="1562" spans="1:2">
      <c r="A1562" s="32">
        <v>46077</v>
      </c>
      <c r="B1562" s="33">
        <v>0.155</v>
      </c>
    </row>
    <row r="1563" spans="1:2">
      <c r="A1563" s="32">
        <v>46078</v>
      </c>
      <c r="B1563" s="33">
        <v>0.155</v>
      </c>
    </row>
    <row r="1564" spans="1:2">
      <c r="A1564" s="32">
        <v>46079</v>
      </c>
      <c r="B1564" s="33">
        <v>0.155</v>
      </c>
    </row>
    <row r="1565" spans="1:2">
      <c r="A1565" s="32">
        <v>46080</v>
      </c>
      <c r="B1565" s="33">
        <v>0.155</v>
      </c>
    </row>
    <row r="1566" spans="1:2">
      <c r="A1566" s="32">
        <v>46083</v>
      </c>
      <c r="B1566" s="33">
        <v>0.155</v>
      </c>
    </row>
    <row r="1567" spans="1:2">
      <c r="A1567" s="32">
        <v>46084</v>
      </c>
      <c r="B1567" s="33">
        <v>0.155</v>
      </c>
    </row>
    <row r="1568" spans="1:2">
      <c r="A1568" s="32">
        <v>46085</v>
      </c>
      <c r="B1568" s="33">
        <v>0.155</v>
      </c>
    </row>
    <row r="1569" spans="1:2">
      <c r="A1569" s="32">
        <v>46086</v>
      </c>
      <c r="B1569" s="33">
        <v>0.155</v>
      </c>
    </row>
    <row r="1570" spans="1:2">
      <c r="A1570" s="32">
        <v>46087</v>
      </c>
      <c r="B1570" s="33">
        <v>0.155</v>
      </c>
    </row>
    <row r="1571" spans="1:2">
      <c r="A1571" s="32">
        <v>46090</v>
      </c>
      <c r="B1571" s="33">
        <v>0.155</v>
      </c>
    </row>
    <row r="1572" spans="1:2">
      <c r="A1572" s="32">
        <v>46091</v>
      </c>
      <c r="B1572" s="33">
        <v>0.155</v>
      </c>
    </row>
    <row r="1573" spans="1:2">
      <c r="A1573" s="32">
        <v>46092</v>
      </c>
      <c r="B1573" s="33">
        <v>0.155</v>
      </c>
    </row>
    <row r="1574" spans="1:2">
      <c r="A1574" s="32">
        <v>46093</v>
      </c>
      <c r="B1574" s="33">
        <v>0.155</v>
      </c>
    </row>
    <row r="1575" spans="1:2">
      <c r="A1575" s="32">
        <v>46094</v>
      </c>
      <c r="B1575" s="33">
        <v>0.155</v>
      </c>
    </row>
    <row r="1576" spans="1:2">
      <c r="A1576" s="32">
        <v>46097</v>
      </c>
      <c r="B1576" s="33">
        <v>0.155</v>
      </c>
    </row>
    <row r="1577" spans="1:2">
      <c r="A1577" s="32">
        <v>46098</v>
      </c>
      <c r="B1577" s="33">
        <v>0.155</v>
      </c>
    </row>
    <row r="1578" spans="1:2">
      <c r="A1578" s="32">
        <v>46099</v>
      </c>
      <c r="B1578" s="33">
        <v>0.155</v>
      </c>
    </row>
    <row r="1579" spans="1:2">
      <c r="A1579" s="32">
        <v>46100</v>
      </c>
      <c r="B1579" s="33">
        <v>0.155</v>
      </c>
    </row>
    <row r="1580" spans="1:2">
      <c r="A1580" s="32">
        <v>46101</v>
      </c>
      <c r="B1580" s="33">
        <v>0.155</v>
      </c>
    </row>
    <row r="1581" spans="1:2">
      <c r="A1581" s="32">
        <v>46104</v>
      </c>
      <c r="B1581" s="33">
        <v>0.15</v>
      </c>
    </row>
    <row r="1582" spans="1:2">
      <c r="A1582" s="32">
        <v>46105</v>
      </c>
      <c r="B1582" s="33">
        <v>0.15</v>
      </c>
    </row>
    <row r="1583" spans="1:2">
      <c r="A1583" s="32">
        <v>46106</v>
      </c>
      <c r="B1583" s="33">
        <v>0.15</v>
      </c>
    </row>
    <row r="1584" spans="1:2">
      <c r="A1584" s="32">
        <v>46107</v>
      </c>
      <c r="B1584" s="33">
        <v>0.15</v>
      </c>
    </row>
    <row r="1585" spans="1:2">
      <c r="A1585" s="32">
        <v>46108</v>
      </c>
      <c r="B1585" s="33">
        <v>0.15</v>
      </c>
    </row>
    <row r="1586" spans="1:2">
      <c r="A1586" s="32">
        <v>46111</v>
      </c>
      <c r="B1586" s="33">
        <v>0.15</v>
      </c>
    </row>
    <row r="1587" spans="1:2">
      <c r="A1587" s="32">
        <v>46112</v>
      </c>
      <c r="B1587" s="33">
        <v>0.15</v>
      </c>
    </row>
    <row r="1588" spans="1:2">
      <c r="A1588" s="32">
        <v>46113</v>
      </c>
      <c r="B1588" s="33">
        <v>0.15</v>
      </c>
    </row>
    <row r="1589" spans="1:2">
      <c r="A1589" s="32">
        <v>46114</v>
      </c>
      <c r="B1589" s="33">
        <v>0.15</v>
      </c>
    </row>
    <row r="1590" spans="1:2">
      <c r="A1590" s="32">
        <v>46115</v>
      </c>
      <c r="B1590" s="33">
        <v>0.15</v>
      </c>
    </row>
    <row r="1591" spans="1:2">
      <c r="A1591" s="32">
        <v>46118</v>
      </c>
      <c r="B1591" s="33">
        <v>0.15</v>
      </c>
    </row>
    <row r="1592" spans="1:2">
      <c r="A1592" s="32">
        <v>46119</v>
      </c>
      <c r="B1592" s="33">
        <v>0.15</v>
      </c>
    </row>
    <row r="1593" spans="1:2">
      <c r="A1593" s="32">
        <v>46120</v>
      </c>
      <c r="B1593" s="33">
        <v>0.15</v>
      </c>
    </row>
    <row r="1594" spans="1:2">
      <c r="A1594" s="32">
        <v>46121</v>
      </c>
      <c r="B1594" s="33">
        <v>0.15</v>
      </c>
    </row>
    <row r="1595" spans="1:2">
      <c r="A1595" s="32">
        <v>46122</v>
      </c>
      <c r="B1595" s="33">
        <v>0.15</v>
      </c>
    </row>
    <row r="1596" spans="1:2">
      <c r="A1596" s="32">
        <v>46125</v>
      </c>
      <c r="B1596" s="33">
        <v>0.15</v>
      </c>
    </row>
    <row r="1597" spans="1:2">
      <c r="A1597" s="32">
        <v>46126</v>
      </c>
      <c r="B1597" s="33">
        <v>0.15</v>
      </c>
    </row>
    <row r="1598" spans="1:2">
      <c r="A1598" s="32">
        <v>46127</v>
      </c>
      <c r="B1598" s="33">
        <v>0.15</v>
      </c>
    </row>
    <row r="1599" spans="1:2">
      <c r="A1599" s="32">
        <v>46128</v>
      </c>
      <c r="B1599" s="33">
        <v>0.15</v>
      </c>
    </row>
    <row r="1600" spans="1:2">
      <c r="A1600" s="32">
        <v>46129</v>
      </c>
      <c r="B1600" s="33">
        <v>0.15</v>
      </c>
    </row>
    <row r="1601" spans="1:2">
      <c r="A1601" s="32">
        <v>46132</v>
      </c>
      <c r="B1601" s="33">
        <v>0.15</v>
      </c>
    </row>
    <row r="1602" spans="1:2">
      <c r="A1602" s="32">
        <v>46133</v>
      </c>
      <c r="B1602" s="33">
        <v>0.15</v>
      </c>
    </row>
    <row r="1603" spans="1:2">
      <c r="A1603" s="32">
        <v>46134</v>
      </c>
      <c r="B1603" s="33">
        <v>0.15</v>
      </c>
    </row>
    <row r="1604" spans="1:2">
      <c r="A1604" s="32">
        <v>46135</v>
      </c>
      <c r="B1604" s="33">
        <v>0.15</v>
      </c>
    </row>
    <row r="1605" spans="1:2">
      <c r="A1605" s="32">
        <v>46136</v>
      </c>
      <c r="B1605" s="33">
        <v>0.15</v>
      </c>
    </row>
    <row r="1606" spans="1:2">
      <c r="A1606" s="32">
        <v>46139</v>
      </c>
      <c r="B1606" s="33">
        <v>0.14499999999999999</v>
      </c>
    </row>
    <row r="1607" spans="1:2">
      <c r="A1607" s="32">
        <v>46140</v>
      </c>
      <c r="B1607" s="33">
        <v>0.14499999999999999</v>
      </c>
    </row>
    <row r="1608" spans="1:2">
      <c r="A1608" s="32">
        <v>46141</v>
      </c>
      <c r="B1608" s="33">
        <v>0.14499999999999999</v>
      </c>
    </row>
    <row r="1609" spans="1:2">
      <c r="A1609" s="32">
        <v>46142</v>
      </c>
      <c r="B1609" s="33">
        <v>0.14499999999999999</v>
      </c>
    </row>
    <row r="1610" spans="1:2">
      <c r="A1610" s="32">
        <v>46146</v>
      </c>
      <c r="B1610" s="33">
        <v>0.14499999999999999</v>
      </c>
    </row>
    <row r="1611" spans="1:2">
      <c r="A1611" s="32">
        <v>46147</v>
      </c>
      <c r="B1611" s="33">
        <v>0.14499999999999999</v>
      </c>
    </row>
    <row r="1612" spans="1:2">
      <c r="A1612" s="32">
        <v>46148</v>
      </c>
      <c r="B1612" s="33">
        <v>0.14499999999999999</v>
      </c>
    </row>
    <row r="1613" spans="1:2">
      <c r="A1613" s="32">
        <v>46149</v>
      </c>
      <c r="B1613" s="33">
        <v>0.14499999999999999</v>
      </c>
    </row>
    <row r="1614" spans="1:2">
      <c r="A1614" s="32">
        <v>46150</v>
      </c>
      <c r="B1614" s="33">
        <v>0.14499999999999999</v>
      </c>
    </row>
    <row r="1615" spans="1:2">
      <c r="A1615" s="32">
        <v>46153</v>
      </c>
      <c r="B1615" s="33">
        <v>0.14499999999999999</v>
      </c>
    </row>
    <row r="1616" spans="1:2">
      <c r="A1616" s="32">
        <v>46154</v>
      </c>
      <c r="B1616" s="33">
        <v>0.14499999999999999</v>
      </c>
    </row>
    <row r="1617" spans="1:2">
      <c r="A1617" s="32">
        <v>46155</v>
      </c>
      <c r="B1617" s="33">
        <v>0.14499999999999999</v>
      </c>
    </row>
    <row r="1618" spans="1:2">
      <c r="A1618" s="32">
        <v>46156</v>
      </c>
      <c r="B1618" s="33">
        <v>0.14499999999999999</v>
      </c>
    </row>
    <row r="1619" spans="1:2">
      <c r="A1619" s="32">
        <v>46157</v>
      </c>
      <c r="B1619" s="33">
        <v>0.14499999999999999</v>
      </c>
    </row>
    <row r="1620" spans="1:2">
      <c r="A1620" s="32">
        <v>46160</v>
      </c>
      <c r="B1620" s="33">
        <v>0.14499999999999999</v>
      </c>
    </row>
    <row r="1621" spans="1:2">
      <c r="A1621" s="32">
        <v>46161</v>
      </c>
      <c r="B1621" s="33">
        <v>0.14499999999999999</v>
      </c>
    </row>
    <row r="1622" spans="1:2">
      <c r="A1622" s="32">
        <v>46162</v>
      </c>
      <c r="B1622" s="33">
        <v>0.14499999999999999</v>
      </c>
    </row>
    <row r="1623" spans="1:2">
      <c r="A1623" s="32">
        <v>46163</v>
      </c>
      <c r="B1623" s="33">
        <v>0.14499999999999999</v>
      </c>
    </row>
    <row r="1624" spans="1:2">
      <c r="A1624" s="32">
        <v>46164</v>
      </c>
      <c r="B1624" s="33">
        <v>0.14499999999999999</v>
      </c>
    </row>
    <row r="1625" spans="1:2">
      <c r="A1625" s="32">
        <v>46167</v>
      </c>
      <c r="B1625" s="33">
        <v>0.14499999999999999</v>
      </c>
    </row>
    <row r="1626" spans="1:2">
      <c r="A1626" s="32">
        <v>46168</v>
      </c>
      <c r="B1626" s="33">
        <v>0.14499999999999999</v>
      </c>
    </row>
    <row r="1627" spans="1:2">
      <c r="A1627" s="32">
        <v>46169</v>
      </c>
      <c r="B1627" s="33">
        <v>0.14499999999999999</v>
      </c>
    </row>
    <row r="1628" spans="1:2">
      <c r="A1628" s="32">
        <v>46170</v>
      </c>
      <c r="B1628" s="33">
        <v>0.14499999999999999</v>
      </c>
    </row>
    <row r="1629" spans="1:2">
      <c r="A1629" s="32">
        <v>46171</v>
      </c>
      <c r="B1629" s="33">
        <v>0.14499999999999999</v>
      </c>
    </row>
    <row r="1630" spans="1:2">
      <c r="A1630" s="32">
        <v>46174</v>
      </c>
      <c r="B1630" s="33">
        <v>0.14499999999999999</v>
      </c>
    </row>
    <row r="1631" spans="1:2">
      <c r="A1631" s="32">
        <v>46175</v>
      </c>
      <c r="B1631" s="33">
        <v>0.14499999999999999</v>
      </c>
    </row>
    <row r="1632" spans="1:2">
      <c r="A1632" s="32">
        <v>46176</v>
      </c>
      <c r="B1632" s="33">
        <v>0.14499999999999999</v>
      </c>
    </row>
    <row r="1633" spans="1:2">
      <c r="A1633" s="32">
        <v>46177</v>
      </c>
      <c r="B1633" s="33">
        <v>0.14499999999999999</v>
      </c>
    </row>
    <row r="1634" spans="1:2">
      <c r="A1634" s="32">
        <v>46178</v>
      </c>
      <c r="B1634" s="33">
        <v>0.14499999999999999</v>
      </c>
    </row>
    <row r="1635" spans="1:2">
      <c r="A1635" s="32">
        <v>46181</v>
      </c>
      <c r="B1635" s="33">
        <v>0.14499999999999999</v>
      </c>
    </row>
    <row r="1636" spans="1:2">
      <c r="A1636" s="32">
        <v>46182</v>
      </c>
      <c r="B1636" s="33">
        <v>0.14499999999999999</v>
      </c>
    </row>
    <row r="1637" spans="1:2">
      <c r="A1637" s="32">
        <v>46183</v>
      </c>
      <c r="B1637" s="33">
        <v>0.14499999999999999</v>
      </c>
    </row>
    <row r="1638" spans="1:2">
      <c r="A1638" s="32">
        <v>46184</v>
      </c>
      <c r="B1638" s="33">
        <v>0.14499999999999999</v>
      </c>
    </row>
    <row r="1639" spans="1:2">
      <c r="A1639" s="32">
        <v>46188</v>
      </c>
      <c r="B1639" s="33">
        <v>0.14499999999999999</v>
      </c>
    </row>
    <row r="1640" spans="1:2">
      <c r="A1640" s="32">
        <v>46189</v>
      </c>
      <c r="B1640" s="33">
        <v>0.14499999999999999</v>
      </c>
    </row>
    <row r="1641" spans="1:2">
      <c r="A1641" s="32">
        <v>46190</v>
      </c>
      <c r="B1641" s="33">
        <v>0.14499999999999999</v>
      </c>
    </row>
    <row r="1642" spans="1:2">
      <c r="A1642" s="32">
        <v>46191</v>
      </c>
      <c r="B1642" s="33">
        <v>0.14499999999999999</v>
      </c>
    </row>
    <row r="1643" spans="1:2">
      <c r="A1643" s="32">
        <v>46192</v>
      </c>
      <c r="B1643" s="33">
        <v>0.14499999999999999</v>
      </c>
    </row>
    <row r="1644" spans="1:2">
      <c r="A1644" s="32">
        <v>46195</v>
      </c>
      <c r="B1644" s="33">
        <v>0.14249999999999999</v>
      </c>
    </row>
    <row r="1645" spans="1:2">
      <c r="A1645" s="32">
        <v>46196</v>
      </c>
      <c r="B1645" s="33">
        <v>0.14249999999999999</v>
      </c>
    </row>
    <row r="1646" spans="1:2">
      <c r="A1646" s="32">
        <v>46197</v>
      </c>
      <c r="B1646" s="33">
        <v>0.14249999999999999</v>
      </c>
    </row>
    <row r="1647" spans="1:2">
      <c r="A1647" s="32">
        <v>46198</v>
      </c>
      <c r="B1647" s="33">
        <v>0.14249999999999999</v>
      </c>
    </row>
    <row r="1648" spans="1:2">
      <c r="A1648" s="32">
        <v>46199</v>
      </c>
      <c r="B1648" s="33">
        <v>0.14249999999999999</v>
      </c>
    </row>
    <row r="1649" spans="1:2">
      <c r="A1649" s="32">
        <v>46202</v>
      </c>
      <c r="B1649" s="33">
        <v>0.14249999999999999</v>
      </c>
    </row>
    <row r="1650" spans="1:2">
      <c r="A1650" s="32">
        <v>46203</v>
      </c>
      <c r="B1650" s="33">
        <v>0.14249999999999999</v>
      </c>
    </row>
    <row r="1651" spans="1:2">
      <c r="A1651" s="32">
        <v>46204</v>
      </c>
      <c r="B1651" s="33">
        <v>0.14249999999999999</v>
      </c>
    </row>
    <row r="1652" spans="1:2">
      <c r="A1652" s="32">
        <v>46205</v>
      </c>
      <c r="B1652" s="33">
        <v>0.14249999999999999</v>
      </c>
    </row>
    <row r="1653" spans="1:2">
      <c r="A1653" s="32">
        <v>46206</v>
      </c>
      <c r="B1653" s="33">
        <v>0.14249999999999999</v>
      </c>
    </row>
    <row r="1654" spans="1:2">
      <c r="A1654" s="32">
        <v>46209</v>
      </c>
      <c r="B1654" s="33">
        <v>0.14249999999999999</v>
      </c>
    </row>
    <row r="1655" spans="1:2">
      <c r="A1655" s="32">
        <v>46210</v>
      </c>
      <c r="B1655" s="33">
        <v>0.14249999999999999</v>
      </c>
    </row>
    <row r="1656" spans="1:2">
      <c r="A1656" s="32">
        <v>46211</v>
      </c>
      <c r="B1656" s="33">
        <v>0.14249999999999999</v>
      </c>
    </row>
    <row r="1657" spans="1:2">
      <c r="A1657" s="32">
        <v>46212</v>
      </c>
      <c r="B1657" s="33">
        <v>0.14249999999999999</v>
      </c>
    </row>
    <row r="1658" spans="1:2">
      <c r="A1658" s="32">
        <v>46213</v>
      </c>
      <c r="B1658" s="33">
        <v>0.14249999999999999</v>
      </c>
    </row>
    <row r="1659" spans="1:2">
      <c r="A1659" s="32">
        <v>46216</v>
      </c>
      <c r="B1659" s="33">
        <v>0.14249999999999999</v>
      </c>
    </row>
    <row r="1660" spans="1:2">
      <c r="A1660" s="32">
        <v>46217</v>
      </c>
      <c r="B1660" s="33">
        <v>0.14249999999999999</v>
      </c>
    </row>
    <row r="1661" spans="1:2">
      <c r="A1661" s="32">
        <v>46218</v>
      </c>
      <c r="B1661" s="33">
        <v>0.14249999999999999</v>
      </c>
    </row>
    <row r="1662" spans="1:2">
      <c r="A1662" s="32">
        <v>46219</v>
      </c>
      <c r="B1662" s="33">
        <v>0.14249999999999999</v>
      </c>
    </row>
    <row r="1663" spans="1:2">
      <c r="A1663" s="32">
        <v>46220</v>
      </c>
      <c r="B1663" s="33">
        <v>0.14249999999999999</v>
      </c>
    </row>
    <row r="1664" spans="1:2">
      <c r="A1664" s="32">
        <v>46223</v>
      </c>
      <c r="B1664" s="33">
        <v>0.14249999999999999</v>
      </c>
    </row>
    <row r="1665" spans="1:2">
      <c r="A1665" s="32">
        <v>46224</v>
      </c>
      <c r="B1665" s="33">
        <v>0.14249999999999999</v>
      </c>
    </row>
    <row r="1666" spans="1:2">
      <c r="A1666" s="32">
        <v>46225</v>
      </c>
      <c r="B1666" s="33">
        <v>0.14249999999999999</v>
      </c>
    </row>
    <row r="1667" spans="1:2">
      <c r="A1667" s="32">
        <v>46226</v>
      </c>
      <c r="B1667" s="33">
        <v>0.14249999999999999</v>
      </c>
    </row>
    <row r="1668" spans="1:2">
      <c r="A1668" s="32">
        <v>46227</v>
      </c>
      <c r="B1668" s="33">
        <v>0.14249999999999999</v>
      </c>
    </row>
    <row r="1669" spans="1:2">
      <c r="A1669" s="32">
        <v>46230</v>
      </c>
      <c r="B1669" s="33">
        <v>0.14000000000000001</v>
      </c>
    </row>
    <row r="1670" spans="1:2">
      <c r="A1670" s="32">
        <v>46231</v>
      </c>
      <c r="B1670" s="33">
        <v>0.14000000000000001</v>
      </c>
    </row>
    <row r="1671" spans="1:2">
      <c r="A1671" s="32">
        <v>46232</v>
      </c>
      <c r="B1671" s="33">
        <v>0.14000000000000001</v>
      </c>
    </row>
    <row r="1672" spans="1:2">
      <c r="A1672" s="32">
        <v>46233</v>
      </c>
      <c r="B1672" s="33">
        <v>0.14000000000000001</v>
      </c>
    </row>
    <row r="1673" spans="1:2">
      <c r="A1673" s="32">
        <v>46234</v>
      </c>
      <c r="B1673" s="33">
        <v>0.14000000000000001</v>
      </c>
    </row>
    <row r="1674" spans="1:2">
      <c r="A1674" s="32">
        <v>46237</v>
      </c>
      <c r="B1674" s="33">
        <v>0.14000000000000001</v>
      </c>
    </row>
    <row r="1675" spans="1:2">
      <c r="A1675" s="32">
        <v>46238</v>
      </c>
      <c r="B1675" s="33">
        <v>0.14000000000000001</v>
      </c>
    </row>
    <row r="1676" spans="1:2">
      <c r="A1676" s="32">
        <v>46239</v>
      </c>
      <c r="B1676" s="33">
        <v>0.14000000000000001</v>
      </c>
    </row>
    <row r="1677" spans="1:2">
      <c r="A1677" s="32">
        <v>46240</v>
      </c>
      <c r="B1677" s="33">
        <v>0.14000000000000001</v>
      </c>
    </row>
    <row r="1678" spans="1:2">
      <c r="A1678" s="32">
        <v>46241</v>
      </c>
      <c r="B1678" s="33">
        <v>0.14000000000000001</v>
      </c>
    </row>
    <row r="1679" spans="1:2">
      <c r="A1679" s="32">
        <v>46244</v>
      </c>
      <c r="B1679" s="33">
        <v>0.14000000000000001</v>
      </c>
    </row>
    <row r="1680" spans="1:2">
      <c r="A1680" s="32">
        <v>46245</v>
      </c>
      <c r="B1680" s="33">
        <v>0.14000000000000001</v>
      </c>
    </row>
    <row r="1681" spans="1:2">
      <c r="A1681" s="32">
        <v>46246</v>
      </c>
      <c r="B1681" s="33">
        <v>0.14000000000000001</v>
      </c>
    </row>
    <row r="1682" spans="1:2">
      <c r="A1682" s="32">
        <v>46247</v>
      </c>
      <c r="B1682" s="33">
        <v>0.14000000000000001</v>
      </c>
    </row>
    <row r="1683" spans="1:2">
      <c r="A1683" s="32">
        <v>46248</v>
      </c>
      <c r="B1683" s="33">
        <v>0.14000000000000001</v>
      </c>
    </row>
    <row r="1684" spans="1:2">
      <c r="A1684" s="32">
        <v>46251</v>
      </c>
      <c r="B1684" s="33">
        <v>0.14000000000000001</v>
      </c>
    </row>
    <row r="1685" spans="1:2">
      <c r="A1685" s="32">
        <v>46252</v>
      </c>
      <c r="B1685" s="33">
        <v>0.14000000000000001</v>
      </c>
    </row>
    <row r="1686" spans="1:2">
      <c r="A1686" s="32">
        <v>46253</v>
      </c>
      <c r="B1686" s="33">
        <v>0.14000000000000001</v>
      </c>
    </row>
    <row r="1687" spans="1:2">
      <c r="A1687" s="32">
        <v>46254</v>
      </c>
      <c r="B1687" s="33">
        <v>0.14000000000000001</v>
      </c>
    </row>
    <row r="1688" spans="1:2">
      <c r="A1688" s="32">
        <v>46255</v>
      </c>
      <c r="B1688" s="33">
        <v>0.14000000000000001</v>
      </c>
    </row>
    <row r="1689" spans="1:2">
      <c r="A1689" s="32">
        <v>46258</v>
      </c>
      <c r="B1689" s="33">
        <v>0.14000000000000001</v>
      </c>
    </row>
    <row r="1690" spans="1:2">
      <c r="A1690" s="32">
        <v>46259</v>
      </c>
      <c r="B1690" s="33">
        <v>0.14000000000000001</v>
      </c>
    </row>
    <row r="1691" spans="1:2">
      <c r="A1691" s="32">
        <v>46260</v>
      </c>
      <c r="B1691" s="33">
        <v>0.14000000000000001</v>
      </c>
    </row>
    <row r="1692" spans="1:2">
      <c r="A1692" s="32">
        <v>46261</v>
      </c>
      <c r="B1692" s="33">
        <v>0.14000000000000001</v>
      </c>
    </row>
    <row r="1693" spans="1:2">
      <c r="A1693" s="32">
        <v>46262</v>
      </c>
      <c r="B1693" s="33">
        <v>0.14000000000000001</v>
      </c>
    </row>
    <row r="1694" spans="1:2">
      <c r="A1694" s="32">
        <v>46265</v>
      </c>
      <c r="B1694" s="33">
        <v>0.14000000000000001</v>
      </c>
    </row>
    <row r="1695" spans="1:2">
      <c r="A1695" s="32">
        <v>46266</v>
      </c>
      <c r="B1695" s="33">
        <v>0.14000000000000001</v>
      </c>
    </row>
    <row r="1696" spans="1:2">
      <c r="A1696" s="32">
        <v>46267</v>
      </c>
      <c r="B1696" s="33">
        <v>0.14000000000000001</v>
      </c>
    </row>
    <row r="1697" spans="1:2">
      <c r="A1697" s="32">
        <v>46268</v>
      </c>
      <c r="B1697" s="33">
        <v>0.14000000000000001</v>
      </c>
    </row>
    <row r="1698" spans="1:2">
      <c r="A1698" s="32">
        <v>46269</v>
      </c>
      <c r="B1698" s="33">
        <v>0.14000000000000001</v>
      </c>
    </row>
    <row r="1699" spans="1:2">
      <c r="A1699" s="32">
        <v>46272</v>
      </c>
      <c r="B1699" s="33">
        <v>0.14000000000000001</v>
      </c>
    </row>
    <row r="1700" spans="1:2">
      <c r="A1700" s="32">
        <v>46273</v>
      </c>
      <c r="B1700" s="33">
        <v>0.14000000000000001</v>
      </c>
    </row>
    <row r="1701" spans="1:2">
      <c r="A1701" s="32">
        <v>46274</v>
      </c>
      <c r="B1701" s="33">
        <v>0.14000000000000001</v>
      </c>
    </row>
    <row r="1702" spans="1:2">
      <c r="A1702" s="32">
        <v>46275</v>
      </c>
      <c r="B1702" s="33">
        <v>0.14000000000000001</v>
      </c>
    </row>
    <row r="1703" spans="1:2">
      <c r="A1703" s="32">
        <v>46276</v>
      </c>
      <c r="B1703" s="33">
        <v>0.14000000000000001</v>
      </c>
    </row>
    <row r="1704" spans="1:2">
      <c r="A1704" s="32">
        <v>46279</v>
      </c>
      <c r="B1704" s="33">
        <v>0.14000000000000001</v>
      </c>
    </row>
    <row r="1705" spans="1:2">
      <c r="A1705" s="32">
        <v>46280</v>
      </c>
      <c r="B1705" s="33">
        <v>0.14000000000000001</v>
      </c>
    </row>
    <row r="1706" spans="1:2">
      <c r="A1706" s="32">
        <v>46281</v>
      </c>
      <c r="B1706" s="33">
        <v>0.14000000000000001</v>
      </c>
    </row>
    <row r="1707" spans="1:2">
      <c r="A1707" s="32">
        <v>46282</v>
      </c>
      <c r="B1707" s="33">
        <v>0.14000000000000001</v>
      </c>
    </row>
    <row r="1708" spans="1:2">
      <c r="A1708" s="32">
        <v>46283</v>
      </c>
      <c r="B1708" s="33">
        <v>0.14000000000000001</v>
      </c>
    </row>
    <row r="1709" spans="1:2">
      <c r="A1709" s="32">
        <v>46286</v>
      </c>
      <c r="B1709" s="33">
        <v>0.14000000000000001</v>
      </c>
    </row>
    <row r="1710" spans="1:2">
      <c r="A1710" s="32">
        <v>46287</v>
      </c>
      <c r="B1710" s="33">
        <v>0.14000000000000001</v>
      </c>
    </row>
    <row r="1711" spans="1:2">
      <c r="A1711" s="32">
        <v>46288</v>
      </c>
      <c r="B1711" s="33">
        <v>0.14000000000000001</v>
      </c>
    </row>
    <row r="1712" spans="1:2">
      <c r="A1712" s="32">
        <v>46289</v>
      </c>
      <c r="B1712" s="33">
        <v>0.14000000000000001</v>
      </c>
    </row>
    <row r="1713" spans="1:2">
      <c r="A1713" s="32">
        <v>46290</v>
      </c>
      <c r="B1713" s="33">
        <v>0.14000000000000001</v>
      </c>
    </row>
    <row r="1714" spans="1:2">
      <c r="A1714" s="32">
        <v>46293</v>
      </c>
      <c r="B1714" s="33">
        <v>0.14000000000000001</v>
      </c>
    </row>
    <row r="1715" spans="1:2">
      <c r="A1715" s="32">
        <v>46294</v>
      </c>
      <c r="B1715" s="33">
        <v>0.14000000000000001</v>
      </c>
    </row>
    <row r="1716" spans="1:2">
      <c r="A1716" s="32">
        <v>46295</v>
      </c>
      <c r="B1716" s="33">
        <v>0.14000000000000001</v>
      </c>
    </row>
    <row r="1717" spans="1:2">
      <c r="A1717" s="32">
        <v>46296</v>
      </c>
      <c r="B1717" s="33">
        <v>0.14000000000000001</v>
      </c>
    </row>
    <row r="1718" spans="1:2">
      <c r="A1718" s="32">
        <v>46297</v>
      </c>
      <c r="B1718" s="33">
        <v>0.14000000000000001</v>
      </c>
    </row>
    <row r="1719" spans="1:2">
      <c r="A1719" s="32">
        <v>46300</v>
      </c>
      <c r="B1719" s="33">
        <v>0.14000000000000001</v>
      </c>
    </row>
    <row r="1720" spans="1:2">
      <c r="A1720" s="32">
        <v>46301</v>
      </c>
      <c r="B1720" s="33">
        <v>0.14000000000000001</v>
      </c>
    </row>
    <row r="1721" spans="1:2">
      <c r="A1721" s="32">
        <v>46302</v>
      </c>
      <c r="B1721" s="33">
        <v>0.14000000000000001</v>
      </c>
    </row>
    <row r="1722" spans="1:2">
      <c r="A1722" s="32">
        <v>46303</v>
      </c>
      <c r="B1722" s="33">
        <v>0.14000000000000001</v>
      </c>
    </row>
    <row r="1723" spans="1:2">
      <c r="A1723" s="32">
        <v>46304</v>
      </c>
      <c r="B1723" s="33">
        <v>0.14000000000000001</v>
      </c>
    </row>
    <row r="1724" spans="1:2">
      <c r="A1724" s="32">
        <v>46307</v>
      </c>
      <c r="B1724" s="33">
        <v>0.14000000000000001</v>
      </c>
    </row>
    <row r="1725" spans="1:2">
      <c r="A1725" s="32">
        <v>46308</v>
      </c>
      <c r="B1725" s="33">
        <v>0.14000000000000001</v>
      </c>
    </row>
    <row r="1726" spans="1:2">
      <c r="A1726" s="32">
        <v>46309</v>
      </c>
      <c r="B1726" s="33">
        <v>0.14000000000000001</v>
      </c>
    </row>
    <row r="1727" spans="1:2">
      <c r="A1727" s="32">
        <v>46310</v>
      </c>
      <c r="B1727" s="33">
        <v>0.14000000000000001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57"/>
  <sheetViews>
    <sheetView workbookViewId="0"/>
  </sheetViews>
  <sheetFormatPr defaultRowHeight="14.25"/>
  <cols>
    <col min="1" max="1" width="23" customWidth="1"/>
    <col min="2" max="2" width="12" customWidth="1"/>
    <col min="3" max="4" width="11.5" customWidth="1"/>
    <col min="5" max="5" width="17.375" customWidth="1"/>
    <col min="6" max="6" width="19.75" customWidth="1"/>
    <col min="7" max="8" width="12.75" customWidth="1"/>
    <col min="9" max="9" width="11.875" customWidth="1"/>
    <col min="10" max="10" width="11.75" customWidth="1"/>
    <col min="11" max="11" width="17.75" customWidth="1"/>
    <col min="12" max="12" width="13.375" customWidth="1"/>
    <col min="13" max="13" width="30.25" customWidth="1"/>
    <col min="14" max="14" width="29.75" customWidth="1"/>
    <col min="15" max="15" width="29" customWidth="1"/>
    <col min="16" max="16" width="17.5" customWidth="1"/>
    <col min="17" max="17" width="29.75" customWidth="1"/>
    <col min="18" max="18" width="29.25" customWidth="1"/>
    <col min="19" max="19" width="28.5" customWidth="1"/>
    <col min="20" max="20" width="22.75" customWidth="1"/>
    <col min="21" max="21" width="22.375" customWidth="1"/>
    <col min="22" max="22" width="21.625" customWidth="1"/>
    <col min="23" max="23" width="15.25" customWidth="1"/>
    <col min="24" max="24" width="7.75" customWidth="1"/>
    <col min="25" max="25" width="21.75" customWidth="1"/>
    <col min="26" max="26" width="15.75" customWidth="1"/>
    <col min="27" max="27" width="16.5" customWidth="1"/>
    <col min="28" max="28" width="22.25" customWidth="1"/>
    <col min="29" max="29" width="26.625" customWidth="1"/>
    <col min="30" max="30" width="31.75" customWidth="1"/>
    <col min="31" max="31" width="20.375" customWidth="1"/>
    <col min="32" max="32" width="21.25" customWidth="1"/>
    <col min="33" max="33" width="16.25" customWidth="1"/>
    <col min="34" max="34" width="15.875" customWidth="1"/>
    <col min="35" max="35" width="17.25" customWidth="1"/>
    <col min="36" max="36" width="26.25" customWidth="1"/>
    <col min="37" max="37" width="25.5" customWidth="1"/>
    <col min="38" max="38" width="26.75" customWidth="1"/>
    <col min="39" max="39" width="27.125" customWidth="1"/>
    <col min="40" max="40" width="26.625" customWidth="1"/>
    <col min="41" max="41" width="25.875" customWidth="1"/>
    <col min="42" max="42" width="24.625" customWidth="1"/>
    <col min="43" max="43" width="25.5" customWidth="1"/>
    <col min="44" max="44" width="14.75" customWidth="1"/>
    <col min="45" max="45" width="15.625" customWidth="1"/>
    <col min="46" max="46" width="30.25" customWidth="1"/>
    <col min="47" max="47" width="14.875" customWidth="1"/>
    <col min="48" max="48" width="19.25" customWidth="1"/>
  </cols>
  <sheetData>
    <row r="1" spans="1:49" ht="3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1" t="s">
        <v>8</v>
      </c>
      <c r="J1" s="5" t="s">
        <v>9</v>
      </c>
      <c r="K1" s="5" t="s">
        <v>10</v>
      </c>
      <c r="L1" s="5" t="s">
        <v>11</v>
      </c>
      <c r="M1" s="21" t="s">
        <v>12</v>
      </c>
      <c r="N1" s="21" t="s">
        <v>13</v>
      </c>
      <c r="O1" s="21" t="s">
        <v>14</v>
      </c>
      <c r="P1" s="5" t="s">
        <v>15</v>
      </c>
      <c r="Q1" s="21" t="s">
        <v>16</v>
      </c>
      <c r="R1" s="21" t="s">
        <v>17</v>
      </c>
      <c r="S1" s="21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t="s">
        <v>48</v>
      </c>
    </row>
    <row r="2" spans="1:49" ht="144" customHeight="1">
      <c r="A2" s="6" t="s">
        <v>97</v>
      </c>
      <c r="B2" s="7" t="s">
        <v>98</v>
      </c>
      <c r="C2" s="7" t="s">
        <v>99</v>
      </c>
      <c r="D2" s="6"/>
      <c r="E2" s="7" t="s">
        <v>100</v>
      </c>
      <c r="F2" s="7" t="s">
        <v>101</v>
      </c>
      <c r="G2" s="7" t="s">
        <v>102</v>
      </c>
      <c r="H2" s="7" t="s">
        <v>103</v>
      </c>
      <c r="I2" s="22"/>
      <c r="J2" s="7" t="s">
        <v>104</v>
      </c>
      <c r="K2" s="23"/>
      <c r="L2" s="7" t="s">
        <v>105</v>
      </c>
      <c r="M2" s="24" t="s">
        <v>106</v>
      </c>
      <c r="N2" s="24" t="s">
        <v>107</v>
      </c>
      <c r="O2" s="24" t="s">
        <v>108</v>
      </c>
      <c r="P2" s="7" t="s">
        <v>109</v>
      </c>
      <c r="Q2" s="29" t="s">
        <v>110</v>
      </c>
      <c r="R2" s="29" t="s">
        <v>111</v>
      </c>
      <c r="S2" s="30"/>
      <c r="T2" s="6"/>
      <c r="U2" s="7" t="s">
        <v>112</v>
      </c>
      <c r="V2" s="6"/>
      <c r="W2" s="6"/>
      <c r="X2" s="7" t="s">
        <v>113</v>
      </c>
      <c r="Y2" s="29" t="s">
        <v>114</v>
      </c>
      <c r="Z2" s="7" t="s">
        <v>115</v>
      </c>
      <c r="AA2" s="7" t="s">
        <v>116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ht="21.95" customHeight="1">
      <c r="A3" s="8">
        <v>44804</v>
      </c>
      <c r="B3" s="9" t="s">
        <v>49</v>
      </c>
      <c r="C3" s="9">
        <v>1</v>
      </c>
      <c r="D3" s="9" t="s">
        <v>51</v>
      </c>
      <c r="E3" s="10"/>
      <c r="F3" s="10">
        <v>3646037.89</v>
      </c>
      <c r="G3" s="8">
        <v>44004</v>
      </c>
      <c r="H3" s="8">
        <v>54954</v>
      </c>
      <c r="I3" s="25" t="s">
        <v>52</v>
      </c>
      <c r="J3" s="26">
        <v>7.4999999999999997E-2</v>
      </c>
      <c r="K3" s="26"/>
      <c r="L3" s="9"/>
      <c r="M3" s="27"/>
      <c r="N3" s="25"/>
      <c r="O3" s="28"/>
      <c r="P3" s="9" t="s">
        <v>53</v>
      </c>
      <c r="Q3" s="27">
        <v>44004</v>
      </c>
      <c r="R3" s="25" t="s">
        <v>54</v>
      </c>
      <c r="S3" s="28"/>
      <c r="T3" s="8"/>
      <c r="U3" s="9"/>
      <c r="V3" s="26"/>
      <c r="W3" s="10"/>
      <c r="X3" s="9"/>
      <c r="Y3" s="9" t="s">
        <v>55</v>
      </c>
      <c r="Z3" s="9"/>
      <c r="AA3" s="9"/>
      <c r="AB3" s="8"/>
      <c r="AC3" s="9"/>
      <c r="AD3" s="9"/>
      <c r="AE3" s="26"/>
      <c r="AF3" s="26"/>
      <c r="AG3" s="9"/>
      <c r="AH3" s="26"/>
      <c r="AI3" s="9"/>
      <c r="AJ3" s="9"/>
      <c r="AK3" s="26"/>
      <c r="AL3" s="8"/>
      <c r="AM3" s="8"/>
      <c r="AN3" s="9"/>
      <c r="AO3" s="26"/>
      <c r="AP3" s="9"/>
      <c r="AQ3" s="26"/>
      <c r="AR3" s="26"/>
      <c r="AS3" s="8">
        <v>44804</v>
      </c>
      <c r="AT3" s="26"/>
      <c r="AU3" s="9"/>
      <c r="AV3" s="9"/>
    </row>
    <row r="4" spans="1:49" ht="25.5">
      <c r="A4" s="8">
        <v>44804</v>
      </c>
      <c r="B4" s="9" t="s">
        <v>71</v>
      </c>
      <c r="C4" s="9">
        <v>2</v>
      </c>
      <c r="D4" s="9" t="s">
        <v>51</v>
      </c>
      <c r="E4" s="10"/>
      <c r="F4" s="10">
        <v>3646037.89</v>
      </c>
      <c r="G4" s="8">
        <v>44004</v>
      </c>
      <c r="H4" s="8">
        <v>54954</v>
      </c>
      <c r="I4" s="25" t="s">
        <v>52</v>
      </c>
      <c r="J4" s="26">
        <v>7.4999999999999997E-2</v>
      </c>
      <c r="K4" s="26"/>
      <c r="L4" s="9"/>
      <c r="M4" s="27"/>
      <c r="N4" s="25"/>
      <c r="O4" s="28"/>
      <c r="P4" s="9" t="s">
        <v>53</v>
      </c>
      <c r="Q4" s="27">
        <v>44004</v>
      </c>
      <c r="R4" s="25" t="s">
        <v>54</v>
      </c>
      <c r="S4" s="28"/>
      <c r="T4" s="8"/>
      <c r="U4" s="9"/>
      <c r="V4" s="26"/>
      <c r="W4" s="10"/>
      <c r="X4" s="9"/>
      <c r="Y4" s="9" t="s">
        <v>55</v>
      </c>
      <c r="Z4" s="9"/>
      <c r="AA4" s="9"/>
      <c r="AB4" s="8"/>
      <c r="AC4" s="9"/>
      <c r="AD4" s="9"/>
      <c r="AE4" s="26"/>
      <c r="AF4" s="26"/>
      <c r="AG4" s="9"/>
      <c r="AH4" s="26"/>
      <c r="AI4" s="9"/>
      <c r="AJ4" s="9"/>
      <c r="AK4" s="26"/>
      <c r="AL4" s="8"/>
      <c r="AM4" s="8"/>
      <c r="AN4" s="9"/>
      <c r="AO4" s="26"/>
      <c r="AP4" s="9"/>
      <c r="AQ4" s="26"/>
      <c r="AR4" s="26"/>
      <c r="AS4" s="8">
        <v>44804</v>
      </c>
      <c r="AT4" s="26"/>
      <c r="AU4" s="9"/>
      <c r="AV4" s="9"/>
    </row>
    <row r="5" spans="1:49" ht="14.45" customHeight="1">
      <c r="A5" s="8">
        <v>44804</v>
      </c>
      <c r="B5" s="9" t="s">
        <v>49</v>
      </c>
      <c r="C5" s="9">
        <v>3</v>
      </c>
      <c r="D5" s="9" t="s">
        <v>51</v>
      </c>
      <c r="E5" s="10"/>
      <c r="F5" s="10">
        <v>4800112.4800000004</v>
      </c>
      <c r="G5" s="8">
        <v>44182</v>
      </c>
      <c r="H5" s="8">
        <v>47680</v>
      </c>
      <c r="I5" s="25" t="s">
        <v>52</v>
      </c>
      <c r="J5" s="26">
        <v>7.4264150000000001E-2</v>
      </c>
      <c r="K5" s="26"/>
      <c r="L5" s="9"/>
      <c r="M5" s="27"/>
      <c r="N5" s="25"/>
      <c r="O5" s="28"/>
      <c r="P5" s="9" t="s">
        <v>53</v>
      </c>
      <c r="Q5" s="27">
        <v>44182</v>
      </c>
      <c r="R5" s="25" t="s">
        <v>54</v>
      </c>
      <c r="S5" s="28"/>
      <c r="T5" s="8"/>
      <c r="U5" s="9"/>
      <c r="V5" s="26"/>
      <c r="W5" s="10"/>
      <c r="X5" s="9"/>
      <c r="Y5" s="9" t="s">
        <v>57</v>
      </c>
      <c r="Z5" s="9"/>
      <c r="AA5" s="9"/>
      <c r="AB5" s="8"/>
      <c r="AC5" s="9"/>
      <c r="AD5" s="9"/>
      <c r="AE5" s="26"/>
      <c r="AF5" s="26"/>
      <c r="AG5" s="9"/>
      <c r="AH5" s="26"/>
      <c r="AI5" s="9"/>
      <c r="AJ5" s="9"/>
      <c r="AK5" s="26"/>
      <c r="AL5" s="8"/>
      <c r="AM5" s="8"/>
      <c r="AN5" s="9"/>
      <c r="AO5" s="26"/>
      <c r="AP5" s="9"/>
      <c r="AQ5" s="26"/>
      <c r="AR5" s="26"/>
      <c r="AS5" s="8">
        <v>44804</v>
      </c>
      <c r="AT5" s="26"/>
      <c r="AU5" s="9"/>
      <c r="AV5" s="9"/>
    </row>
    <row r="6" spans="1:49" ht="14.45" customHeight="1">
      <c r="A6" s="8">
        <v>44804</v>
      </c>
      <c r="B6" s="9" t="s">
        <v>71</v>
      </c>
      <c r="C6" s="9">
        <v>4</v>
      </c>
      <c r="D6" s="9" t="s">
        <v>51</v>
      </c>
      <c r="E6" s="10"/>
      <c r="F6" s="10">
        <v>3646037.89</v>
      </c>
      <c r="G6" s="8">
        <v>44096</v>
      </c>
      <c r="H6" s="8">
        <v>55046</v>
      </c>
      <c r="I6" s="25" t="s">
        <v>52</v>
      </c>
      <c r="J6" s="26">
        <v>7.4999999999999997E-2</v>
      </c>
      <c r="K6" s="26"/>
      <c r="L6" s="9"/>
      <c r="M6" s="27">
        <v>44096</v>
      </c>
      <c r="N6" s="25" t="s">
        <v>54</v>
      </c>
      <c r="O6" s="28"/>
      <c r="P6" s="9" t="s">
        <v>53</v>
      </c>
      <c r="Q6" s="27">
        <v>44096</v>
      </c>
      <c r="R6" s="25" t="s">
        <v>54</v>
      </c>
      <c r="S6" s="28"/>
      <c r="T6" s="8"/>
      <c r="U6" s="9"/>
      <c r="V6" s="26"/>
      <c r="W6" s="10"/>
      <c r="X6" s="9"/>
      <c r="Y6" s="9" t="s">
        <v>55</v>
      </c>
      <c r="Z6" s="9"/>
      <c r="AA6" s="9"/>
      <c r="AB6" s="8"/>
      <c r="AC6" s="9"/>
      <c r="AD6" s="9"/>
      <c r="AE6" s="26"/>
      <c r="AF6" s="26"/>
      <c r="AG6" s="9"/>
      <c r="AH6" s="26"/>
      <c r="AI6" s="9"/>
      <c r="AJ6" s="9"/>
      <c r="AK6" s="26"/>
      <c r="AL6" s="8"/>
      <c r="AM6" s="8"/>
      <c r="AN6" s="9"/>
      <c r="AO6" s="26"/>
      <c r="AP6" s="9"/>
      <c r="AQ6" s="26"/>
      <c r="AR6" s="26"/>
      <c r="AS6" s="8">
        <v>44804</v>
      </c>
      <c r="AT6" s="26"/>
      <c r="AU6" s="9"/>
      <c r="AV6" s="9"/>
    </row>
    <row r="7" spans="1:49" ht="14.45" customHeight="1">
      <c r="A7" s="8">
        <v>44804</v>
      </c>
      <c r="B7" s="9" t="s">
        <v>49</v>
      </c>
      <c r="C7" s="9">
        <v>5</v>
      </c>
      <c r="D7" s="9" t="s">
        <v>51</v>
      </c>
      <c r="E7" s="10"/>
      <c r="F7" s="10">
        <v>4800112.4800000004</v>
      </c>
      <c r="G7" s="8">
        <v>44182</v>
      </c>
      <c r="H7" s="8">
        <v>47772</v>
      </c>
      <c r="I7" s="25" t="s">
        <v>52</v>
      </c>
      <c r="J7" s="26">
        <v>7.4264150000000001E-2</v>
      </c>
      <c r="K7" s="26"/>
      <c r="L7" s="9"/>
      <c r="M7" s="27"/>
      <c r="N7" s="25"/>
      <c r="O7" s="28"/>
      <c r="P7" s="9" t="s">
        <v>53</v>
      </c>
      <c r="Q7" s="27">
        <v>44182</v>
      </c>
      <c r="R7" s="25" t="s">
        <v>54</v>
      </c>
      <c r="S7" s="28"/>
      <c r="T7" s="8"/>
      <c r="U7" s="9"/>
      <c r="V7" s="26"/>
      <c r="W7" s="10"/>
      <c r="X7" s="9"/>
      <c r="Y7" s="9" t="s">
        <v>57</v>
      </c>
      <c r="Z7" s="9"/>
      <c r="AA7" s="9"/>
      <c r="AB7" s="8"/>
      <c r="AC7" s="9"/>
      <c r="AD7" s="9"/>
      <c r="AE7" s="26"/>
      <c r="AF7" s="26"/>
      <c r="AG7" s="9"/>
      <c r="AH7" s="26"/>
      <c r="AI7" s="9"/>
      <c r="AJ7" s="9"/>
      <c r="AK7" s="26"/>
      <c r="AL7" s="8"/>
      <c r="AM7" s="8"/>
      <c r="AN7" s="9"/>
      <c r="AO7" s="26"/>
      <c r="AP7" s="9"/>
      <c r="AQ7" s="26"/>
      <c r="AR7" s="26"/>
      <c r="AS7" s="8">
        <v>44804</v>
      </c>
      <c r="AT7" s="26"/>
      <c r="AU7" s="9"/>
      <c r="AV7" s="9"/>
    </row>
    <row r="8" spans="1:49" ht="14.45" customHeight="1">
      <c r="A8" s="8">
        <v>44804</v>
      </c>
      <c r="B8" s="9" t="s">
        <v>71</v>
      </c>
      <c r="C8" s="9">
        <v>6</v>
      </c>
      <c r="D8" s="9" t="s">
        <v>51</v>
      </c>
      <c r="E8" s="10"/>
      <c r="F8" s="10">
        <v>3646037.89</v>
      </c>
      <c r="G8" s="8">
        <v>44096</v>
      </c>
      <c r="H8" s="8">
        <v>55046</v>
      </c>
      <c r="I8" s="25" t="s">
        <v>52</v>
      </c>
      <c r="J8" s="26">
        <v>7.4999999999999997E-2</v>
      </c>
      <c r="K8" s="26"/>
      <c r="L8" s="9"/>
      <c r="M8" s="27">
        <v>44096</v>
      </c>
      <c r="N8" s="25" t="s">
        <v>54</v>
      </c>
      <c r="O8" s="28"/>
      <c r="P8" s="9" t="s">
        <v>53</v>
      </c>
      <c r="Q8" s="27">
        <v>44096</v>
      </c>
      <c r="R8" s="25" t="s">
        <v>54</v>
      </c>
      <c r="S8" s="28"/>
      <c r="T8" s="8"/>
      <c r="U8" s="9"/>
      <c r="V8" s="26"/>
      <c r="W8" s="10"/>
      <c r="X8" s="9"/>
      <c r="Y8" s="9" t="s">
        <v>57</v>
      </c>
      <c r="Z8" s="9"/>
      <c r="AA8" s="9"/>
      <c r="AB8" s="8"/>
      <c r="AC8" s="9"/>
      <c r="AD8" s="9"/>
      <c r="AE8" s="26"/>
      <c r="AF8" s="26"/>
      <c r="AG8" s="9"/>
      <c r="AH8" s="26"/>
      <c r="AI8" s="9"/>
      <c r="AJ8" s="9"/>
      <c r="AK8" s="26"/>
      <c r="AL8" s="8"/>
      <c r="AM8" s="8"/>
      <c r="AN8" s="9"/>
      <c r="AO8" s="26"/>
      <c r="AP8" s="9"/>
      <c r="AQ8" s="26"/>
      <c r="AR8" s="26"/>
      <c r="AS8" s="8">
        <v>44804</v>
      </c>
      <c r="AT8" s="26"/>
      <c r="AU8" s="9"/>
      <c r="AV8" s="9"/>
    </row>
    <row r="9" spans="1:49" ht="43.15" customHeight="1">
      <c r="A9" s="8">
        <v>44804</v>
      </c>
      <c r="B9" s="9" t="s">
        <v>49</v>
      </c>
      <c r="C9" s="9">
        <v>7</v>
      </c>
      <c r="D9" s="9" t="s">
        <v>51</v>
      </c>
      <c r="E9" s="10"/>
      <c r="F9" s="10">
        <v>349553.63</v>
      </c>
      <c r="G9" s="8">
        <v>43619</v>
      </c>
      <c r="H9" s="8">
        <v>44909</v>
      </c>
      <c r="I9" s="25" t="s">
        <v>52</v>
      </c>
      <c r="J9" s="26">
        <v>0.15</v>
      </c>
      <c r="K9" s="26"/>
      <c r="L9" s="9"/>
      <c r="M9" s="27">
        <v>43448</v>
      </c>
      <c r="N9" s="25" t="s">
        <v>54</v>
      </c>
      <c r="O9" s="28">
        <v>14</v>
      </c>
      <c r="P9" s="9" t="s">
        <v>59</v>
      </c>
      <c r="Q9" s="27">
        <v>43448</v>
      </c>
      <c r="R9" s="25" t="s">
        <v>54</v>
      </c>
      <c r="S9" s="28">
        <v>14</v>
      </c>
      <c r="T9" s="8"/>
      <c r="U9" s="9"/>
      <c r="V9" s="26"/>
      <c r="W9" s="10"/>
      <c r="X9" s="9" t="s">
        <v>117</v>
      </c>
      <c r="Y9" s="9" t="s">
        <v>67</v>
      </c>
      <c r="Z9" s="9"/>
      <c r="AA9" s="9"/>
      <c r="AB9" s="8"/>
      <c r="AC9" s="9"/>
      <c r="AD9" s="9"/>
      <c r="AE9" s="26"/>
      <c r="AF9" s="26"/>
      <c r="AG9" s="9"/>
      <c r="AH9" s="26"/>
      <c r="AI9" s="9"/>
      <c r="AJ9" s="9"/>
      <c r="AK9" s="26"/>
      <c r="AL9" s="8"/>
      <c r="AM9" s="8"/>
      <c r="AN9" s="9"/>
      <c r="AO9" s="26"/>
      <c r="AP9" s="9"/>
      <c r="AQ9" s="26"/>
      <c r="AR9" s="26"/>
      <c r="AS9" s="8">
        <v>44804</v>
      </c>
      <c r="AT9" s="26"/>
      <c r="AU9" s="9"/>
      <c r="AV9" s="9"/>
    </row>
    <row r="10" spans="1:49" ht="14.45" customHeight="1">
      <c r="A10" s="8">
        <v>44804</v>
      </c>
      <c r="B10" s="9" t="s">
        <v>49</v>
      </c>
      <c r="C10" s="9">
        <v>8</v>
      </c>
      <c r="D10" s="9" t="s">
        <v>51</v>
      </c>
      <c r="E10" s="10"/>
      <c r="F10" s="10">
        <v>60709.45</v>
      </c>
      <c r="G10" s="8">
        <v>43859</v>
      </c>
      <c r="H10" s="8">
        <v>44969</v>
      </c>
      <c r="I10" s="25" t="s">
        <v>52</v>
      </c>
      <c r="J10" s="26">
        <v>0.1</v>
      </c>
      <c r="K10" s="26"/>
      <c r="L10" s="9"/>
      <c r="M10" s="27">
        <v>43508</v>
      </c>
      <c r="N10" s="25" t="s">
        <v>54</v>
      </c>
      <c r="O10" s="28">
        <v>12</v>
      </c>
      <c r="P10" s="9" t="s">
        <v>59</v>
      </c>
      <c r="Q10" s="27">
        <v>43508</v>
      </c>
      <c r="R10" s="25" t="s">
        <v>54</v>
      </c>
      <c r="S10" s="28">
        <v>12</v>
      </c>
      <c r="T10" s="8"/>
      <c r="U10" s="9"/>
      <c r="V10" s="26"/>
      <c r="W10" s="10"/>
      <c r="X10" s="9" t="s">
        <v>118</v>
      </c>
      <c r="Y10" s="9" t="s">
        <v>55</v>
      </c>
      <c r="Z10" s="9"/>
      <c r="AA10" s="9"/>
      <c r="AB10" s="8"/>
      <c r="AC10" s="9"/>
      <c r="AD10" s="9"/>
      <c r="AE10" s="26"/>
      <c r="AF10" s="26"/>
      <c r="AG10" s="9"/>
      <c r="AH10" s="26"/>
      <c r="AI10" s="9"/>
      <c r="AJ10" s="9"/>
      <c r="AK10" s="26"/>
      <c r="AL10" s="8"/>
      <c r="AM10" s="8"/>
      <c r="AN10" s="9"/>
      <c r="AO10" s="26"/>
      <c r="AP10" s="9"/>
      <c r="AQ10" s="26"/>
      <c r="AR10" s="26"/>
      <c r="AS10" s="8">
        <v>44804</v>
      </c>
      <c r="AT10" s="26"/>
      <c r="AU10" s="9"/>
      <c r="AV10" s="9"/>
    </row>
    <row r="11" spans="1:49" ht="43.15" customHeight="1">
      <c r="A11" s="8">
        <v>44804</v>
      </c>
      <c r="B11" s="9" t="s">
        <v>49</v>
      </c>
      <c r="C11" s="9">
        <v>9</v>
      </c>
      <c r="D11" s="9" t="s">
        <v>51</v>
      </c>
      <c r="E11" s="10"/>
      <c r="F11" s="10">
        <v>290027.78000000003</v>
      </c>
      <c r="G11" s="8">
        <v>41879</v>
      </c>
      <c r="H11" s="8">
        <v>45599</v>
      </c>
      <c r="I11" s="25" t="s">
        <v>52</v>
      </c>
      <c r="J11" s="26">
        <v>0.13</v>
      </c>
      <c r="K11" s="26"/>
      <c r="L11" s="9"/>
      <c r="M11" s="27">
        <v>41581</v>
      </c>
      <c r="N11" s="25" t="s">
        <v>54</v>
      </c>
      <c r="O11" s="28">
        <v>3</v>
      </c>
      <c r="P11" s="9" t="s">
        <v>59</v>
      </c>
      <c r="Q11" s="27">
        <v>41581</v>
      </c>
      <c r="R11" s="25" t="s">
        <v>54</v>
      </c>
      <c r="S11" s="28">
        <v>3</v>
      </c>
      <c r="T11" s="8"/>
      <c r="U11" s="9"/>
      <c r="V11" s="26"/>
      <c r="W11" s="10"/>
      <c r="X11" s="9" t="s">
        <v>60</v>
      </c>
      <c r="Y11" s="9" t="s">
        <v>61</v>
      </c>
      <c r="Z11" s="9"/>
      <c r="AA11" s="9"/>
      <c r="AB11" s="8"/>
      <c r="AC11" s="9"/>
      <c r="AD11" s="9"/>
      <c r="AE11" s="26"/>
      <c r="AF11" s="26"/>
      <c r="AG11" s="9"/>
      <c r="AH11" s="26"/>
      <c r="AI11" s="9"/>
      <c r="AJ11" s="9"/>
      <c r="AK11" s="26"/>
      <c r="AL11" s="8"/>
      <c r="AM11" s="8"/>
      <c r="AN11" s="9"/>
      <c r="AO11" s="26"/>
      <c r="AP11" s="9"/>
      <c r="AQ11" s="26"/>
      <c r="AR11" s="26"/>
      <c r="AS11" s="8">
        <v>44804</v>
      </c>
      <c r="AT11" s="26"/>
      <c r="AU11" s="9"/>
      <c r="AV11" s="9"/>
    </row>
    <row r="12" spans="1:49" ht="14.45" customHeight="1">
      <c r="A12" s="8">
        <v>44804</v>
      </c>
      <c r="B12" s="9" t="s">
        <v>49</v>
      </c>
      <c r="C12" s="9">
        <v>10</v>
      </c>
      <c r="D12" s="9" t="s">
        <v>51</v>
      </c>
      <c r="E12" s="10"/>
      <c r="F12" s="10">
        <v>11061796</v>
      </c>
      <c r="G12" s="8">
        <v>43949</v>
      </c>
      <c r="H12" s="8">
        <v>49109</v>
      </c>
      <c r="I12" s="25" t="s">
        <v>52</v>
      </c>
      <c r="J12" s="26">
        <v>0.08</v>
      </c>
      <c r="K12" s="26"/>
      <c r="L12" s="9"/>
      <c r="M12" s="27">
        <v>43630</v>
      </c>
      <c r="N12" s="25" t="s">
        <v>54</v>
      </c>
      <c r="O12" s="28">
        <v>14</v>
      </c>
      <c r="P12" s="9" t="s">
        <v>59</v>
      </c>
      <c r="Q12" s="27">
        <v>43630</v>
      </c>
      <c r="R12" s="25" t="s">
        <v>54</v>
      </c>
      <c r="S12" s="28">
        <v>14</v>
      </c>
      <c r="T12" s="8"/>
      <c r="U12" s="9"/>
      <c r="V12" s="26"/>
      <c r="W12" s="10"/>
      <c r="X12" s="9" t="s">
        <v>60</v>
      </c>
      <c r="Y12" s="9" t="s">
        <v>61</v>
      </c>
      <c r="Z12" s="9"/>
      <c r="AA12" s="9"/>
      <c r="AB12" s="8"/>
      <c r="AC12" s="9"/>
      <c r="AD12" s="9"/>
      <c r="AE12" s="26"/>
      <c r="AF12" s="26"/>
      <c r="AG12" s="9"/>
      <c r="AH12" s="26"/>
      <c r="AI12" s="9"/>
      <c r="AJ12" s="9"/>
      <c r="AK12" s="26"/>
      <c r="AL12" s="8"/>
      <c r="AM12" s="8"/>
      <c r="AN12" s="9"/>
      <c r="AO12" s="26"/>
      <c r="AP12" s="9"/>
      <c r="AQ12" s="26"/>
      <c r="AR12" s="26"/>
      <c r="AS12" s="8">
        <v>44804</v>
      </c>
      <c r="AT12" s="26"/>
      <c r="AU12" s="9"/>
      <c r="AV12" s="9"/>
    </row>
    <row r="13" spans="1:49" ht="25.5">
      <c r="A13" s="8">
        <v>44804</v>
      </c>
      <c r="B13" s="9" t="s">
        <v>71</v>
      </c>
      <c r="C13" s="9">
        <v>11</v>
      </c>
      <c r="D13" s="9" t="s">
        <v>51</v>
      </c>
      <c r="E13" s="10"/>
      <c r="F13" s="10">
        <v>349553.63</v>
      </c>
      <c r="G13" s="8">
        <v>43619</v>
      </c>
      <c r="H13" s="8">
        <v>44909</v>
      </c>
      <c r="I13" s="25" t="s">
        <v>52</v>
      </c>
      <c r="J13" s="26">
        <v>0.15</v>
      </c>
      <c r="K13" s="26"/>
      <c r="L13" s="9"/>
      <c r="M13" s="27">
        <v>43448</v>
      </c>
      <c r="N13" s="25" t="s">
        <v>54</v>
      </c>
      <c r="O13" s="28">
        <v>14</v>
      </c>
      <c r="P13" s="9" t="s">
        <v>59</v>
      </c>
      <c r="Q13" s="27">
        <v>43448</v>
      </c>
      <c r="R13" s="25" t="s">
        <v>54</v>
      </c>
      <c r="S13" s="28">
        <v>14</v>
      </c>
      <c r="T13" s="8"/>
      <c r="U13" s="9"/>
      <c r="V13" s="26"/>
      <c r="W13" s="10"/>
      <c r="X13" s="9" t="s">
        <v>117</v>
      </c>
      <c r="Y13" s="9" t="s">
        <v>67</v>
      </c>
      <c r="Z13" s="9"/>
      <c r="AA13" s="9"/>
      <c r="AB13" s="8"/>
      <c r="AC13" s="9"/>
      <c r="AD13" s="9"/>
      <c r="AE13" s="26"/>
      <c r="AF13" s="26"/>
      <c r="AG13" s="9"/>
      <c r="AH13" s="26"/>
      <c r="AI13" s="9"/>
      <c r="AJ13" s="9"/>
      <c r="AK13" s="26"/>
      <c r="AL13" s="8"/>
      <c r="AM13" s="8"/>
      <c r="AN13" s="9"/>
      <c r="AO13" s="26"/>
      <c r="AP13" s="9"/>
      <c r="AQ13" s="26"/>
      <c r="AR13" s="26"/>
      <c r="AS13" s="8">
        <v>44804</v>
      </c>
      <c r="AT13" s="26"/>
      <c r="AU13" s="9"/>
      <c r="AV13" s="9"/>
    </row>
    <row r="14" spans="1:49" ht="25.5">
      <c r="A14" s="8">
        <v>44804</v>
      </c>
      <c r="B14" s="9" t="s">
        <v>71</v>
      </c>
      <c r="C14" s="9">
        <v>12</v>
      </c>
      <c r="D14" s="9" t="s">
        <v>51</v>
      </c>
      <c r="E14" s="10"/>
      <c r="F14" s="10">
        <v>60709.45</v>
      </c>
      <c r="G14" s="8">
        <v>43859</v>
      </c>
      <c r="H14" s="8">
        <v>44969</v>
      </c>
      <c r="I14" s="25" t="s">
        <v>52</v>
      </c>
      <c r="J14" s="26">
        <v>0.1</v>
      </c>
      <c r="K14" s="26"/>
      <c r="L14" s="9"/>
      <c r="M14" s="27">
        <v>43508</v>
      </c>
      <c r="N14" s="25" t="s">
        <v>54</v>
      </c>
      <c r="O14" s="28">
        <v>12</v>
      </c>
      <c r="P14" s="9" t="s">
        <v>59</v>
      </c>
      <c r="Q14" s="27">
        <v>43508</v>
      </c>
      <c r="R14" s="25" t="s">
        <v>54</v>
      </c>
      <c r="S14" s="28">
        <v>12</v>
      </c>
      <c r="T14" s="8"/>
      <c r="U14" s="9"/>
      <c r="V14" s="26"/>
      <c r="W14" s="10"/>
      <c r="X14" s="9" t="s">
        <v>118</v>
      </c>
      <c r="Y14" s="9" t="s">
        <v>55</v>
      </c>
      <c r="Z14" s="9"/>
      <c r="AA14" s="9"/>
      <c r="AB14" s="8"/>
      <c r="AC14" s="9"/>
      <c r="AD14" s="9"/>
      <c r="AE14" s="26"/>
      <c r="AF14" s="26"/>
      <c r="AG14" s="9"/>
      <c r="AH14" s="26"/>
      <c r="AI14" s="9"/>
      <c r="AJ14" s="9"/>
      <c r="AK14" s="26"/>
      <c r="AL14" s="8"/>
      <c r="AM14" s="8"/>
      <c r="AN14" s="9"/>
      <c r="AO14" s="26"/>
      <c r="AP14" s="9"/>
      <c r="AQ14" s="26"/>
      <c r="AR14" s="26"/>
      <c r="AS14" s="8">
        <v>44804</v>
      </c>
      <c r="AT14" s="26"/>
      <c r="AU14" s="9"/>
      <c r="AV14" s="9"/>
    </row>
    <row r="15" spans="1:49" ht="25.5">
      <c r="A15" s="8">
        <v>44804</v>
      </c>
      <c r="B15" s="9" t="s">
        <v>71</v>
      </c>
      <c r="C15" s="9">
        <v>13</v>
      </c>
      <c r="D15" s="9" t="s">
        <v>51</v>
      </c>
      <c r="E15" s="10">
        <v>0</v>
      </c>
      <c r="F15" s="10">
        <v>1047077.3</v>
      </c>
      <c r="G15" s="8">
        <v>44158</v>
      </c>
      <c r="H15" s="8">
        <v>45046</v>
      </c>
      <c r="I15" s="25" t="s">
        <v>52</v>
      </c>
      <c r="J15" s="26">
        <v>0.06</v>
      </c>
      <c r="K15" s="26"/>
      <c r="L15" s="9"/>
      <c r="M15" s="27">
        <v>44581</v>
      </c>
      <c r="N15" s="25" t="s">
        <v>54</v>
      </c>
      <c r="O15" s="28">
        <v>7</v>
      </c>
      <c r="P15" s="9" t="s">
        <v>59</v>
      </c>
      <c r="Q15" s="27">
        <v>44581</v>
      </c>
      <c r="R15" s="25" t="s">
        <v>54</v>
      </c>
      <c r="S15" s="28">
        <v>7</v>
      </c>
      <c r="T15" s="8">
        <v>44581</v>
      </c>
      <c r="U15" s="9"/>
      <c r="V15" s="26"/>
      <c r="W15" s="10"/>
      <c r="X15" s="9" t="s">
        <v>60</v>
      </c>
      <c r="Y15" s="9" t="s">
        <v>57</v>
      </c>
      <c r="Z15" s="9"/>
      <c r="AA15" s="9"/>
      <c r="AB15" s="8"/>
      <c r="AC15" s="9"/>
      <c r="AD15" s="9"/>
      <c r="AE15" s="26"/>
      <c r="AF15" s="26"/>
      <c r="AG15" s="9"/>
      <c r="AH15" s="26"/>
      <c r="AI15" s="9"/>
      <c r="AJ15" s="9"/>
      <c r="AK15" s="26"/>
      <c r="AL15" s="8"/>
      <c r="AM15" s="8"/>
      <c r="AN15" s="9"/>
      <c r="AO15" s="26"/>
      <c r="AP15" s="9"/>
      <c r="AQ15" s="26"/>
      <c r="AR15" s="26"/>
      <c r="AS15" s="8">
        <v>44804</v>
      </c>
      <c r="AT15" s="26"/>
      <c r="AU15" s="9"/>
      <c r="AV15" s="9"/>
    </row>
    <row r="16" spans="1:49" ht="25.5">
      <c r="A16" s="8">
        <v>44804</v>
      </c>
      <c r="B16" s="9" t="s">
        <v>71</v>
      </c>
      <c r="C16" s="9">
        <v>14</v>
      </c>
      <c r="D16" s="9" t="s">
        <v>51</v>
      </c>
      <c r="E16" s="10"/>
      <c r="F16" s="10">
        <v>1047077.3</v>
      </c>
      <c r="G16" s="8">
        <v>44158</v>
      </c>
      <c r="H16" s="8">
        <v>45046</v>
      </c>
      <c r="I16" s="25" t="s">
        <v>52</v>
      </c>
      <c r="J16" s="26">
        <v>6.0999999999999999E-2</v>
      </c>
      <c r="K16" s="26"/>
      <c r="L16" s="9"/>
      <c r="M16" s="27">
        <v>44158</v>
      </c>
      <c r="N16" s="25" t="s">
        <v>54</v>
      </c>
      <c r="O16" s="28">
        <v>14</v>
      </c>
      <c r="P16" s="9" t="s">
        <v>59</v>
      </c>
      <c r="Q16" s="27">
        <v>44158</v>
      </c>
      <c r="R16" s="25" t="s">
        <v>54</v>
      </c>
      <c r="S16" s="28">
        <v>14</v>
      </c>
      <c r="T16" s="8"/>
      <c r="U16" s="9"/>
      <c r="V16" s="26"/>
      <c r="W16" s="10"/>
      <c r="X16" s="9"/>
      <c r="Y16" s="9" t="s">
        <v>61</v>
      </c>
      <c r="Z16" s="9"/>
      <c r="AA16" s="9"/>
      <c r="AB16" s="8"/>
      <c r="AC16" s="9"/>
      <c r="AD16" s="9"/>
      <c r="AE16" s="26"/>
      <c r="AF16" s="26"/>
      <c r="AG16" s="9"/>
      <c r="AH16" s="26"/>
      <c r="AI16" s="9"/>
      <c r="AJ16" s="9"/>
      <c r="AK16" s="26"/>
      <c r="AL16" s="8"/>
      <c r="AM16" s="8"/>
      <c r="AN16" s="9"/>
      <c r="AO16" s="26"/>
      <c r="AP16" s="9"/>
      <c r="AQ16" s="26"/>
      <c r="AR16" s="26"/>
      <c r="AS16" s="8">
        <v>44804</v>
      </c>
      <c r="AT16" s="26"/>
      <c r="AU16" s="9"/>
      <c r="AV16" s="9"/>
    </row>
    <row r="17" spans="1:48" ht="38.25">
      <c r="A17" s="8">
        <v>44804</v>
      </c>
      <c r="B17" s="9" t="s">
        <v>62</v>
      </c>
      <c r="C17" s="9">
        <v>15</v>
      </c>
      <c r="D17" s="9" t="s">
        <v>51</v>
      </c>
      <c r="E17" s="10"/>
      <c r="F17" s="10">
        <v>-1896648.88</v>
      </c>
      <c r="G17" s="8">
        <v>44789</v>
      </c>
      <c r="H17" s="8">
        <v>44999</v>
      </c>
      <c r="I17" s="25" t="s">
        <v>52</v>
      </c>
      <c r="J17" s="26">
        <v>0.04</v>
      </c>
      <c r="K17" s="26"/>
      <c r="L17" s="9"/>
      <c r="M17" s="27">
        <v>44789</v>
      </c>
      <c r="N17" s="25" t="s">
        <v>54</v>
      </c>
      <c r="O17" s="28">
        <v>14</v>
      </c>
      <c r="P17" s="9" t="s">
        <v>59</v>
      </c>
      <c r="Q17" s="27"/>
      <c r="R17" s="25" t="s">
        <v>119</v>
      </c>
      <c r="S17" s="28"/>
      <c r="T17" s="8"/>
      <c r="U17" s="9"/>
      <c r="V17" s="26"/>
      <c r="W17" s="10"/>
      <c r="X17" s="9" t="s">
        <v>120</v>
      </c>
      <c r="Y17" s="9" t="s">
        <v>121</v>
      </c>
      <c r="Z17" s="9"/>
      <c r="AA17" s="9"/>
      <c r="AB17" s="8"/>
      <c r="AC17" s="9"/>
      <c r="AD17" s="9"/>
      <c r="AE17" s="26"/>
      <c r="AF17" s="26"/>
      <c r="AG17" s="9"/>
      <c r="AH17" s="26"/>
      <c r="AI17" s="9"/>
      <c r="AJ17" s="9"/>
      <c r="AK17" s="26"/>
      <c r="AL17" s="8"/>
      <c r="AM17" s="8"/>
      <c r="AN17" s="9"/>
      <c r="AO17" s="26"/>
      <c r="AP17" s="9"/>
      <c r="AQ17" s="26"/>
      <c r="AR17" s="26"/>
      <c r="AS17" s="8">
        <v>44804</v>
      </c>
      <c r="AT17" s="26"/>
      <c r="AU17" s="9"/>
      <c r="AV17" s="9"/>
    </row>
    <row r="18" spans="1:48" ht="82.9" customHeight="1">
      <c r="A18" s="8">
        <v>44804</v>
      </c>
      <c r="B18" s="9" t="s">
        <v>62</v>
      </c>
      <c r="C18" s="9">
        <v>16</v>
      </c>
      <c r="D18" s="9" t="s">
        <v>51</v>
      </c>
      <c r="E18" s="10"/>
      <c r="F18" s="10">
        <v>1047077.3</v>
      </c>
      <c r="G18" s="8">
        <v>44158</v>
      </c>
      <c r="H18" s="8">
        <v>45046</v>
      </c>
      <c r="I18" s="25" t="s">
        <v>52</v>
      </c>
      <c r="J18" s="26">
        <v>6.0999999999999999E-2</v>
      </c>
      <c r="K18" s="26"/>
      <c r="L18" s="9"/>
      <c r="M18" s="27">
        <v>44158</v>
      </c>
      <c r="N18" s="25" t="s">
        <v>54</v>
      </c>
      <c r="O18" s="28">
        <v>7</v>
      </c>
      <c r="P18" s="9" t="s">
        <v>59</v>
      </c>
      <c r="Q18" s="27"/>
      <c r="R18" s="25"/>
      <c r="S18" s="28"/>
      <c r="T18" s="8"/>
      <c r="U18" s="9"/>
      <c r="V18" s="26"/>
      <c r="W18" s="10"/>
      <c r="X18" s="9" t="s">
        <v>60</v>
      </c>
      <c r="Y18" s="9" t="s">
        <v>57</v>
      </c>
      <c r="Z18" s="9"/>
      <c r="AA18" s="9" t="s">
        <v>64</v>
      </c>
      <c r="AB18" s="8"/>
      <c r="AC18" s="9"/>
      <c r="AD18" s="9"/>
      <c r="AE18" s="26"/>
      <c r="AF18" s="26"/>
      <c r="AG18" s="9"/>
      <c r="AH18" s="26"/>
      <c r="AI18" s="9"/>
      <c r="AJ18" s="9"/>
      <c r="AK18" s="26"/>
      <c r="AL18" s="8"/>
      <c r="AM18" s="8"/>
      <c r="AN18" s="9"/>
      <c r="AO18" s="26"/>
      <c r="AP18" s="9"/>
      <c r="AQ18" s="26"/>
      <c r="AR18" s="26"/>
      <c r="AS18" s="8">
        <v>44804</v>
      </c>
      <c r="AT18" s="26"/>
      <c r="AU18" s="9"/>
      <c r="AV18" s="9"/>
    </row>
    <row r="19" spans="1:48" ht="51">
      <c r="A19" s="8">
        <v>44804</v>
      </c>
      <c r="B19" s="9" t="s">
        <v>62</v>
      </c>
      <c r="C19" s="9">
        <v>17</v>
      </c>
      <c r="D19" s="9" t="s">
        <v>51</v>
      </c>
      <c r="E19" s="10"/>
      <c r="F19" s="10">
        <v>1047077.3</v>
      </c>
      <c r="G19" s="8">
        <v>44158</v>
      </c>
      <c r="H19" s="8">
        <v>45046</v>
      </c>
      <c r="I19" s="25" t="s">
        <v>52</v>
      </c>
      <c r="J19" s="26">
        <v>6.0999999999999999E-2</v>
      </c>
      <c r="K19" s="26"/>
      <c r="L19" s="9"/>
      <c r="M19" s="27">
        <v>44158</v>
      </c>
      <c r="N19" s="25" t="s">
        <v>54</v>
      </c>
      <c r="O19" s="28">
        <v>7</v>
      </c>
      <c r="P19" s="9" t="s">
        <v>59</v>
      </c>
      <c r="Q19" s="27"/>
      <c r="R19" s="25"/>
      <c r="S19" s="28"/>
      <c r="T19" s="8"/>
      <c r="U19" s="9"/>
      <c r="V19" s="26"/>
      <c r="W19" s="10"/>
      <c r="X19" s="9" t="s">
        <v>122</v>
      </c>
      <c r="Y19" s="9" t="s">
        <v>55</v>
      </c>
      <c r="Z19" s="9"/>
      <c r="AA19" s="9" t="s">
        <v>64</v>
      </c>
      <c r="AB19" s="8"/>
      <c r="AC19" s="9"/>
      <c r="AD19" s="9"/>
      <c r="AE19" s="26"/>
      <c r="AF19" s="26"/>
      <c r="AG19" s="9"/>
      <c r="AH19" s="26"/>
      <c r="AI19" s="9"/>
      <c r="AJ19" s="9"/>
      <c r="AK19" s="26"/>
      <c r="AL19" s="8"/>
      <c r="AM19" s="8"/>
      <c r="AN19" s="9"/>
      <c r="AO19" s="26"/>
      <c r="AP19" s="9"/>
      <c r="AQ19" s="26"/>
      <c r="AR19" s="26"/>
      <c r="AS19" s="8">
        <v>44804</v>
      </c>
      <c r="AT19" s="26"/>
      <c r="AU19" s="9"/>
      <c r="AV19" s="9"/>
    </row>
    <row r="20" spans="1:48" ht="51">
      <c r="A20" s="8">
        <v>44804</v>
      </c>
      <c r="B20" s="9" t="s">
        <v>62</v>
      </c>
      <c r="C20" s="9">
        <v>18</v>
      </c>
      <c r="D20" s="9" t="s">
        <v>51</v>
      </c>
      <c r="E20" s="10"/>
      <c r="F20" s="10">
        <v>1047077.3</v>
      </c>
      <c r="G20" s="8">
        <v>44158</v>
      </c>
      <c r="H20" s="8">
        <v>45046</v>
      </c>
      <c r="I20" s="25" t="s">
        <v>52</v>
      </c>
      <c r="J20" s="26">
        <v>6.0999999999999999E-2</v>
      </c>
      <c r="K20" s="26"/>
      <c r="L20" s="9"/>
      <c r="M20" s="27">
        <v>44158</v>
      </c>
      <c r="N20" s="25" t="s">
        <v>54</v>
      </c>
      <c r="O20" s="28">
        <v>7</v>
      </c>
      <c r="P20" s="9" t="s">
        <v>59</v>
      </c>
      <c r="Q20" s="27"/>
      <c r="R20" s="25"/>
      <c r="S20" s="28"/>
      <c r="T20" s="8"/>
      <c r="U20" s="9"/>
      <c r="V20" s="26"/>
      <c r="W20" s="10"/>
      <c r="X20" s="9" t="s">
        <v>66</v>
      </c>
      <c r="Y20" s="9" t="s">
        <v>67</v>
      </c>
      <c r="Z20" s="9"/>
      <c r="AA20" s="9" t="s">
        <v>64</v>
      </c>
      <c r="AB20" s="8"/>
      <c r="AC20" s="9"/>
      <c r="AD20" s="9"/>
      <c r="AE20" s="26"/>
      <c r="AF20" s="26"/>
      <c r="AG20" s="9"/>
      <c r="AH20" s="26"/>
      <c r="AI20" s="9"/>
      <c r="AJ20" s="9"/>
      <c r="AK20" s="26"/>
      <c r="AL20" s="8"/>
      <c r="AM20" s="8"/>
      <c r="AN20" s="9"/>
      <c r="AO20" s="26"/>
      <c r="AP20" s="9"/>
      <c r="AQ20" s="26"/>
      <c r="AR20" s="26"/>
      <c r="AS20" s="8">
        <v>44804</v>
      </c>
      <c r="AT20" s="26"/>
      <c r="AU20" s="9"/>
      <c r="AV20" s="9"/>
    </row>
    <row r="21" spans="1:48" ht="51">
      <c r="A21" s="8">
        <v>44804</v>
      </c>
      <c r="B21" s="9" t="s">
        <v>62</v>
      </c>
      <c r="C21" s="9">
        <v>19</v>
      </c>
      <c r="D21" s="9" t="s">
        <v>51</v>
      </c>
      <c r="E21" s="10"/>
      <c r="F21" s="10">
        <v>1047077.3</v>
      </c>
      <c r="G21" s="8">
        <v>44158</v>
      </c>
      <c r="H21" s="8">
        <v>45046</v>
      </c>
      <c r="I21" s="25" t="s">
        <v>52</v>
      </c>
      <c r="J21" s="26">
        <v>6.0999999999999999E-2</v>
      </c>
      <c r="K21" s="26"/>
      <c r="L21" s="9"/>
      <c r="M21" s="27"/>
      <c r="N21" s="25"/>
      <c r="O21" s="28"/>
      <c r="P21" s="9" t="s">
        <v>59</v>
      </c>
      <c r="Q21" s="27"/>
      <c r="R21" s="25"/>
      <c r="S21" s="28"/>
      <c r="T21" s="8"/>
      <c r="U21" s="9"/>
      <c r="V21" s="26"/>
      <c r="W21" s="10"/>
      <c r="X21" s="9" t="s">
        <v>66</v>
      </c>
      <c r="Y21" s="9" t="s">
        <v>67</v>
      </c>
      <c r="Z21" s="9" t="s">
        <v>68</v>
      </c>
      <c r="AA21" s="9" t="s">
        <v>64</v>
      </c>
      <c r="AB21" s="8"/>
      <c r="AC21" s="9"/>
      <c r="AD21" s="9"/>
      <c r="AE21" s="26"/>
      <c r="AF21" s="26"/>
      <c r="AG21" s="9"/>
      <c r="AH21" s="26"/>
      <c r="AI21" s="9"/>
      <c r="AJ21" s="9"/>
      <c r="AK21" s="26"/>
      <c r="AL21" s="8"/>
      <c r="AM21" s="8"/>
      <c r="AN21" s="9"/>
      <c r="AO21" s="26"/>
      <c r="AP21" s="9"/>
      <c r="AQ21" s="26"/>
      <c r="AR21" s="26"/>
      <c r="AS21" s="8">
        <v>44804</v>
      </c>
      <c r="AT21" s="26"/>
      <c r="AU21" s="9"/>
      <c r="AV21" s="9"/>
    </row>
    <row r="22" spans="1:48" ht="51">
      <c r="A22" s="8">
        <v>44804</v>
      </c>
      <c r="B22" s="9" t="s">
        <v>62</v>
      </c>
      <c r="C22" s="9">
        <v>20</v>
      </c>
      <c r="D22" s="9" t="s">
        <v>51</v>
      </c>
      <c r="E22" s="10"/>
      <c r="F22" s="10">
        <v>1047077.3</v>
      </c>
      <c r="G22" s="8">
        <v>44158</v>
      </c>
      <c r="H22" s="8">
        <v>45046</v>
      </c>
      <c r="I22" s="25" t="s">
        <v>52</v>
      </c>
      <c r="J22" s="26">
        <v>6.0999999999999999E-2</v>
      </c>
      <c r="K22" s="26"/>
      <c r="L22" s="9"/>
      <c r="M22" s="27">
        <v>44158</v>
      </c>
      <c r="N22" s="25" t="s">
        <v>54</v>
      </c>
      <c r="O22" s="28">
        <v>7</v>
      </c>
      <c r="P22" s="9" t="s">
        <v>59</v>
      </c>
      <c r="Q22" s="27"/>
      <c r="R22" s="25"/>
      <c r="S22" s="28"/>
      <c r="T22" s="8"/>
      <c r="U22" s="9"/>
      <c r="V22" s="26"/>
      <c r="W22" s="10"/>
      <c r="X22" s="9"/>
      <c r="Y22" s="9" t="s">
        <v>61</v>
      </c>
      <c r="Z22" s="9"/>
      <c r="AA22" s="9" t="s">
        <v>123</v>
      </c>
      <c r="AB22" s="8"/>
      <c r="AC22" s="9"/>
      <c r="AD22" s="9"/>
      <c r="AE22" s="26"/>
      <c r="AF22" s="26"/>
      <c r="AG22" s="9"/>
      <c r="AH22" s="26"/>
      <c r="AI22" s="9"/>
      <c r="AJ22" s="9"/>
      <c r="AK22" s="26"/>
      <c r="AL22" s="8"/>
      <c r="AM22" s="8"/>
      <c r="AN22" s="9"/>
      <c r="AO22" s="26"/>
      <c r="AP22" s="9"/>
      <c r="AQ22" s="26"/>
      <c r="AR22" s="26"/>
      <c r="AS22" s="8">
        <v>44804</v>
      </c>
      <c r="AT22" s="26"/>
      <c r="AU22" s="9"/>
      <c r="AV22" s="9"/>
    </row>
    <row r="23" spans="1:48" ht="25.5">
      <c r="A23" s="8">
        <v>44804</v>
      </c>
      <c r="B23" s="9" t="s">
        <v>62</v>
      </c>
      <c r="C23" s="9">
        <v>21</v>
      </c>
      <c r="D23" s="9" t="s">
        <v>51</v>
      </c>
      <c r="E23" s="10"/>
      <c r="F23" s="10">
        <v>1047077.3</v>
      </c>
      <c r="G23" s="8">
        <v>44158</v>
      </c>
      <c r="H23" s="8">
        <v>45046</v>
      </c>
      <c r="I23" s="25" t="s">
        <v>52</v>
      </c>
      <c r="J23" s="26">
        <v>6.0999999999999999E-2</v>
      </c>
      <c r="K23" s="26"/>
      <c r="L23" s="9"/>
      <c r="M23" s="27">
        <v>44158</v>
      </c>
      <c r="N23" s="25" t="s">
        <v>54</v>
      </c>
      <c r="O23" s="28">
        <v>7</v>
      </c>
      <c r="P23" s="9" t="s">
        <v>59</v>
      </c>
      <c r="Q23" s="27"/>
      <c r="R23" s="25" t="s">
        <v>119</v>
      </c>
      <c r="S23" s="28"/>
      <c r="T23" s="8"/>
      <c r="U23" s="9"/>
      <c r="V23" s="26"/>
      <c r="W23" s="10"/>
      <c r="X23" s="9"/>
      <c r="Y23" s="9" t="s">
        <v>61</v>
      </c>
      <c r="Z23" s="9"/>
      <c r="AA23" s="9"/>
      <c r="AB23" s="8"/>
      <c r="AC23" s="9"/>
      <c r="AD23" s="9"/>
      <c r="AE23" s="26"/>
      <c r="AF23" s="26"/>
      <c r="AG23" s="9"/>
      <c r="AH23" s="26"/>
      <c r="AI23" s="9"/>
      <c r="AJ23" s="9"/>
      <c r="AK23" s="26"/>
      <c r="AL23" s="8"/>
      <c r="AM23" s="8"/>
      <c r="AN23" s="9"/>
      <c r="AO23" s="26"/>
      <c r="AP23" s="9"/>
      <c r="AQ23" s="26"/>
      <c r="AR23" s="26"/>
      <c r="AS23" s="8">
        <v>44804</v>
      </c>
      <c r="AT23" s="26"/>
      <c r="AU23" s="9"/>
      <c r="AV23" s="9"/>
    </row>
    <row r="24" spans="1:48">
      <c r="A24" s="8">
        <v>44804</v>
      </c>
      <c r="B24" s="9" t="s">
        <v>71</v>
      </c>
      <c r="C24" s="9">
        <v>22</v>
      </c>
      <c r="D24" s="9" t="s">
        <v>51</v>
      </c>
      <c r="E24" s="10">
        <v>0</v>
      </c>
      <c r="F24" s="10">
        <v>1000000</v>
      </c>
      <c r="G24" s="8">
        <v>44581</v>
      </c>
      <c r="H24" s="8">
        <v>45046</v>
      </c>
      <c r="I24" s="25" t="s">
        <v>74</v>
      </c>
      <c r="J24" s="26">
        <v>0.11</v>
      </c>
      <c r="K24" s="26"/>
      <c r="L24" s="9" t="s">
        <v>75</v>
      </c>
      <c r="M24" s="27">
        <v>44581</v>
      </c>
      <c r="N24" s="25" t="s">
        <v>54</v>
      </c>
      <c r="O24" s="28">
        <v>10</v>
      </c>
      <c r="P24" s="9" t="s">
        <v>59</v>
      </c>
      <c r="Q24" s="27">
        <v>44581</v>
      </c>
      <c r="R24" s="25" t="s">
        <v>54</v>
      </c>
      <c r="S24" s="28">
        <v>20</v>
      </c>
      <c r="T24" s="8">
        <v>44581</v>
      </c>
      <c r="U24" s="9" t="s">
        <v>54</v>
      </c>
      <c r="V24" s="26">
        <v>15</v>
      </c>
      <c r="W24" s="10"/>
      <c r="X24" s="9" t="s">
        <v>60</v>
      </c>
      <c r="Y24" s="9"/>
      <c r="Z24" s="9"/>
      <c r="AA24" s="9"/>
      <c r="AB24" s="8"/>
      <c r="AC24" s="9"/>
      <c r="AD24" s="9"/>
      <c r="AE24" s="26">
        <v>1</v>
      </c>
      <c r="AF24" s="26">
        <v>0</v>
      </c>
      <c r="AG24" s="9"/>
      <c r="AH24" s="26"/>
      <c r="AI24" s="9"/>
      <c r="AJ24" s="9"/>
      <c r="AK24" s="26"/>
      <c r="AL24" s="8"/>
      <c r="AM24" s="8"/>
      <c r="AN24" s="9"/>
      <c r="AO24" s="26"/>
      <c r="AP24" s="9"/>
      <c r="AQ24" s="26"/>
      <c r="AR24" s="26"/>
      <c r="AS24" s="8">
        <v>44804</v>
      </c>
      <c r="AT24" s="26"/>
      <c r="AU24" s="9"/>
      <c r="AV24" s="9"/>
    </row>
    <row r="25" spans="1:48" ht="25.5">
      <c r="A25" s="8">
        <v>44804</v>
      </c>
      <c r="B25" s="9" t="s">
        <v>71</v>
      </c>
      <c r="C25" s="9">
        <v>23</v>
      </c>
      <c r="D25" s="9" t="s">
        <v>51</v>
      </c>
      <c r="E25" s="10">
        <v>0</v>
      </c>
      <c r="F25" s="10">
        <v>1000000</v>
      </c>
      <c r="G25" s="8">
        <v>44581</v>
      </c>
      <c r="H25" s="8">
        <v>45077</v>
      </c>
      <c r="I25" s="25" t="s">
        <v>74</v>
      </c>
      <c r="J25" s="26">
        <v>0.11</v>
      </c>
      <c r="K25" s="26">
        <v>0</v>
      </c>
      <c r="L25" s="9" t="s">
        <v>75</v>
      </c>
      <c r="M25" s="27">
        <v>44581</v>
      </c>
      <c r="N25" s="25" t="s">
        <v>54</v>
      </c>
      <c r="O25" s="28">
        <v>30</v>
      </c>
      <c r="P25" s="9" t="s">
        <v>59</v>
      </c>
      <c r="Q25" s="27">
        <v>44581</v>
      </c>
      <c r="R25" s="25" t="s">
        <v>54</v>
      </c>
      <c r="S25" s="28">
        <v>30</v>
      </c>
      <c r="T25" s="8">
        <v>44581</v>
      </c>
      <c r="U25" s="9" t="s">
        <v>54</v>
      </c>
      <c r="V25" s="26">
        <v>15</v>
      </c>
      <c r="W25" s="10"/>
      <c r="X25" s="9" t="s">
        <v>60</v>
      </c>
      <c r="Y25" s="9" t="s">
        <v>61</v>
      </c>
      <c r="Z25" s="9"/>
      <c r="AA25" s="9"/>
      <c r="AB25" s="8"/>
      <c r="AC25" s="9"/>
      <c r="AD25" s="9"/>
      <c r="AE25" s="26">
        <v>1</v>
      </c>
      <c r="AF25" s="26">
        <v>0</v>
      </c>
      <c r="AG25" s="9"/>
      <c r="AH25" s="26"/>
      <c r="AI25" s="9"/>
      <c r="AJ25" s="9"/>
      <c r="AK25" s="26"/>
      <c r="AL25" s="8"/>
      <c r="AM25" s="8"/>
      <c r="AN25" s="9"/>
      <c r="AO25" s="26"/>
      <c r="AP25" s="9"/>
      <c r="AQ25" s="26"/>
      <c r="AR25" s="26"/>
      <c r="AS25" s="8">
        <v>44804</v>
      </c>
      <c r="AT25" s="26"/>
      <c r="AU25" s="9"/>
      <c r="AV25" s="9"/>
    </row>
    <row r="26" spans="1:48" ht="25.5">
      <c r="A26" s="8">
        <v>44804</v>
      </c>
      <c r="B26" s="9" t="s">
        <v>71</v>
      </c>
      <c r="C26" s="9">
        <v>24</v>
      </c>
      <c r="D26" s="9" t="s">
        <v>51</v>
      </c>
      <c r="E26" s="10">
        <v>0</v>
      </c>
      <c r="F26" s="10">
        <v>1093204.6299999999</v>
      </c>
      <c r="G26" s="8">
        <v>42809</v>
      </c>
      <c r="H26" s="8">
        <v>45063</v>
      </c>
      <c r="I26" s="25" t="s">
        <v>52</v>
      </c>
      <c r="J26" s="26">
        <v>0.1</v>
      </c>
      <c r="K26" s="26"/>
      <c r="L26" s="9"/>
      <c r="M26" s="27">
        <v>42809</v>
      </c>
      <c r="N26" s="25" t="s">
        <v>54</v>
      </c>
      <c r="O26" s="28">
        <v>7</v>
      </c>
      <c r="P26" s="9" t="s">
        <v>59</v>
      </c>
      <c r="Q26" s="27">
        <v>42809</v>
      </c>
      <c r="R26" s="25" t="s">
        <v>54</v>
      </c>
      <c r="S26" s="28">
        <v>17</v>
      </c>
      <c r="T26" s="8"/>
      <c r="U26" s="9"/>
      <c r="V26" s="26"/>
      <c r="W26" s="10"/>
      <c r="X26" s="9" t="s">
        <v>60</v>
      </c>
      <c r="Y26" s="9" t="s">
        <v>57</v>
      </c>
      <c r="Z26" s="9"/>
      <c r="AA26" s="9"/>
      <c r="AB26" s="8"/>
      <c r="AC26" s="9"/>
      <c r="AD26" s="9"/>
      <c r="AE26" s="26">
        <v>0.4</v>
      </c>
      <c r="AF26" s="26">
        <v>0</v>
      </c>
      <c r="AG26" s="9"/>
      <c r="AH26" s="26"/>
      <c r="AI26" s="9"/>
      <c r="AJ26" s="9"/>
      <c r="AK26" s="26"/>
      <c r="AL26" s="8"/>
      <c r="AM26" s="8"/>
      <c r="AN26" s="9"/>
      <c r="AO26" s="26"/>
      <c r="AP26" s="9"/>
      <c r="AQ26" s="26"/>
      <c r="AR26" s="26"/>
      <c r="AS26" s="8">
        <v>44804</v>
      </c>
      <c r="AT26" s="26"/>
      <c r="AU26" s="9"/>
      <c r="AV26" s="9"/>
    </row>
    <row r="27" spans="1:48">
      <c r="A27" s="8">
        <v>44804</v>
      </c>
      <c r="B27" s="9" t="s">
        <v>62</v>
      </c>
      <c r="C27" s="9">
        <v>25</v>
      </c>
      <c r="D27" s="9" t="s">
        <v>51</v>
      </c>
      <c r="E27" s="10">
        <v>500000</v>
      </c>
      <c r="F27" s="10">
        <v>500000</v>
      </c>
      <c r="G27" s="8">
        <v>44774</v>
      </c>
      <c r="H27" s="8">
        <v>44927</v>
      </c>
      <c r="I27" s="25" t="s">
        <v>74</v>
      </c>
      <c r="J27" s="26">
        <v>0.05</v>
      </c>
      <c r="K27" s="26"/>
      <c r="L27" s="9" t="s">
        <v>75</v>
      </c>
      <c r="M27" s="27">
        <v>44774</v>
      </c>
      <c r="N27" s="25" t="s">
        <v>54</v>
      </c>
      <c r="O27" s="28">
        <v>1</v>
      </c>
      <c r="P27" s="9" t="s">
        <v>76</v>
      </c>
      <c r="Q27" s="27">
        <v>44774</v>
      </c>
      <c r="R27" s="25" t="s">
        <v>119</v>
      </c>
      <c r="S27" s="28"/>
      <c r="T27" s="8"/>
      <c r="U27" s="9"/>
      <c r="V27" s="26"/>
      <c r="W27" s="10"/>
      <c r="X27" s="9"/>
      <c r="Y27" s="9"/>
      <c r="Z27" s="9"/>
      <c r="AA27" s="9"/>
      <c r="AB27" s="8"/>
      <c r="AC27" s="9"/>
      <c r="AD27" s="9"/>
      <c r="AE27" s="26">
        <v>0.1</v>
      </c>
      <c r="AF27" s="26">
        <v>0.06</v>
      </c>
      <c r="AG27" s="9"/>
      <c r="AH27" s="26"/>
      <c r="AI27" s="9"/>
      <c r="AJ27" s="9"/>
      <c r="AK27" s="26"/>
      <c r="AL27" s="8"/>
      <c r="AM27" s="8"/>
      <c r="AN27" s="9"/>
      <c r="AO27" s="26"/>
      <c r="AP27" s="9"/>
      <c r="AQ27" s="26"/>
      <c r="AR27" s="26"/>
      <c r="AS27" s="8">
        <v>44804</v>
      </c>
      <c r="AT27" s="26"/>
      <c r="AU27" s="9"/>
      <c r="AV27" s="9"/>
    </row>
    <row r="28" spans="1:48">
      <c r="A28" s="8">
        <v>44804</v>
      </c>
      <c r="B28" s="9" t="s">
        <v>49</v>
      </c>
      <c r="C28" s="9">
        <v>26</v>
      </c>
      <c r="D28" s="9" t="s">
        <v>51</v>
      </c>
      <c r="E28" s="10"/>
      <c r="F28" s="10">
        <v>2493753.89</v>
      </c>
      <c r="G28" s="8">
        <v>44550</v>
      </c>
      <c r="H28" s="8">
        <v>46507</v>
      </c>
      <c r="I28" s="25" t="s">
        <v>52</v>
      </c>
      <c r="J28" s="26">
        <v>0.109</v>
      </c>
      <c r="K28" s="26"/>
      <c r="L28" s="9"/>
      <c r="M28" s="27">
        <v>44550</v>
      </c>
      <c r="N28" s="25" t="s">
        <v>54</v>
      </c>
      <c r="O28" s="28">
        <v>30</v>
      </c>
      <c r="P28" s="9" t="s">
        <v>59</v>
      </c>
      <c r="Q28" s="27">
        <v>44550</v>
      </c>
      <c r="R28" s="25" t="s">
        <v>54</v>
      </c>
      <c r="S28" s="28">
        <v>30</v>
      </c>
      <c r="T28" s="8"/>
      <c r="U28" s="9"/>
      <c r="V28" s="26"/>
      <c r="W28" s="10"/>
      <c r="X28" s="9" t="s">
        <v>60</v>
      </c>
      <c r="Y28" s="9"/>
      <c r="Z28" s="9"/>
      <c r="AA28" s="9"/>
      <c r="AB28" s="8"/>
      <c r="AC28" s="9"/>
      <c r="AD28" s="9"/>
      <c r="AE28" s="26"/>
      <c r="AF28" s="26"/>
      <c r="AG28" s="9"/>
      <c r="AH28" s="26"/>
      <c r="AI28" s="9"/>
      <c r="AJ28" s="9"/>
      <c r="AK28" s="26"/>
      <c r="AL28" s="8"/>
      <c r="AM28" s="8"/>
      <c r="AN28" s="9"/>
      <c r="AO28" s="26"/>
      <c r="AP28" s="9"/>
      <c r="AQ28" s="26"/>
      <c r="AR28" s="26"/>
      <c r="AS28" s="8">
        <v>44804</v>
      </c>
      <c r="AT28" s="26"/>
      <c r="AU28" s="9"/>
      <c r="AV28" s="9"/>
    </row>
    <row r="29" spans="1:48" ht="25.5">
      <c r="A29" s="8">
        <v>44804</v>
      </c>
      <c r="B29" s="9" t="s">
        <v>71</v>
      </c>
      <c r="C29" s="9">
        <v>27</v>
      </c>
      <c r="D29" s="9" t="s">
        <v>51</v>
      </c>
      <c r="E29" s="10"/>
      <c r="F29" s="10">
        <v>3605963.12</v>
      </c>
      <c r="G29" s="8">
        <v>43000</v>
      </c>
      <c r="H29" s="8">
        <v>45555</v>
      </c>
      <c r="I29" s="25" t="s">
        <v>52</v>
      </c>
      <c r="J29" s="26">
        <v>0.11899999999999999</v>
      </c>
      <c r="K29" s="26"/>
      <c r="L29" s="9"/>
      <c r="M29" s="27">
        <v>43000</v>
      </c>
      <c r="N29" s="25" t="s">
        <v>54</v>
      </c>
      <c r="O29" s="28">
        <v>20</v>
      </c>
      <c r="P29" s="9" t="s">
        <v>59</v>
      </c>
      <c r="Q29" s="27">
        <v>42633</v>
      </c>
      <c r="R29" s="25" t="s">
        <v>54</v>
      </c>
      <c r="S29" s="28">
        <v>20</v>
      </c>
      <c r="T29" s="8"/>
      <c r="U29" s="9"/>
      <c r="V29" s="26"/>
      <c r="W29" s="10"/>
      <c r="X29" s="9" t="s">
        <v>70</v>
      </c>
      <c r="Y29" s="9"/>
      <c r="Z29" s="9"/>
      <c r="AA29" s="9"/>
      <c r="AB29" s="8"/>
      <c r="AC29" s="9"/>
      <c r="AD29" s="9"/>
      <c r="AE29" s="26"/>
      <c r="AF29" s="26"/>
      <c r="AG29" s="9"/>
      <c r="AH29" s="26"/>
      <c r="AI29" s="9"/>
      <c r="AJ29" s="9"/>
      <c r="AK29" s="26"/>
      <c r="AL29" s="8"/>
      <c r="AM29" s="8"/>
      <c r="AN29" s="9"/>
      <c r="AO29" s="26"/>
      <c r="AP29" s="9"/>
      <c r="AQ29" s="26"/>
      <c r="AR29" s="26"/>
      <c r="AS29" s="8">
        <v>44804</v>
      </c>
      <c r="AT29" s="26"/>
      <c r="AU29" s="9"/>
      <c r="AV29" s="9"/>
    </row>
    <row r="30" spans="1:48" ht="25.5">
      <c r="A30" s="8">
        <v>44804</v>
      </c>
      <c r="B30" s="9" t="s">
        <v>49</v>
      </c>
      <c r="C30" s="9">
        <v>28</v>
      </c>
      <c r="D30" s="9" t="s">
        <v>51</v>
      </c>
      <c r="E30" s="10"/>
      <c r="F30" s="10">
        <v>270000</v>
      </c>
      <c r="G30" s="8">
        <v>44671</v>
      </c>
      <c r="H30" s="8">
        <v>45493</v>
      </c>
      <c r="I30" s="25" t="s">
        <v>52</v>
      </c>
      <c r="J30" s="26">
        <v>0.11899999999999999</v>
      </c>
      <c r="K30" s="26"/>
      <c r="L30" s="9"/>
      <c r="M30" s="27">
        <v>44671</v>
      </c>
      <c r="N30" s="25" t="s">
        <v>54</v>
      </c>
      <c r="O30" s="28">
        <v>20</v>
      </c>
      <c r="P30" s="9" t="s">
        <v>59</v>
      </c>
      <c r="Q30" s="27">
        <v>44671</v>
      </c>
      <c r="R30" s="25" t="s">
        <v>54</v>
      </c>
      <c r="S30" s="28">
        <v>20</v>
      </c>
      <c r="T30" s="8"/>
      <c r="U30" s="9"/>
      <c r="V30" s="26"/>
      <c r="W30" s="10"/>
      <c r="X30" s="9" t="s">
        <v>70</v>
      </c>
      <c r="Y30" s="9"/>
      <c r="Z30" s="9"/>
      <c r="AA30" s="9"/>
      <c r="AB30" s="8"/>
      <c r="AC30" s="9"/>
      <c r="AD30" s="9"/>
      <c r="AE30" s="26"/>
      <c r="AF30" s="26"/>
      <c r="AG30" s="9"/>
      <c r="AH30" s="26"/>
      <c r="AI30" s="9"/>
      <c r="AJ30" s="9"/>
      <c r="AK30" s="26"/>
      <c r="AL30" s="8"/>
      <c r="AM30" s="8"/>
      <c r="AN30" s="9"/>
      <c r="AO30" s="26"/>
      <c r="AP30" s="9"/>
      <c r="AQ30" s="26"/>
      <c r="AR30" s="26"/>
      <c r="AS30" s="8">
        <v>44804</v>
      </c>
      <c r="AT30" s="26"/>
      <c r="AU30" s="9"/>
      <c r="AV30" s="9"/>
    </row>
    <row r="31" spans="1:48" ht="25.5">
      <c r="A31" s="8">
        <v>44804</v>
      </c>
      <c r="B31" s="9" t="s">
        <v>71</v>
      </c>
      <c r="C31" s="9">
        <v>29</v>
      </c>
      <c r="D31" s="9" t="s">
        <v>51</v>
      </c>
      <c r="E31" s="10"/>
      <c r="F31" s="10">
        <v>270000</v>
      </c>
      <c r="G31" s="8">
        <v>44671</v>
      </c>
      <c r="H31" s="8">
        <v>45493</v>
      </c>
      <c r="I31" s="25" t="s">
        <v>52</v>
      </c>
      <c r="J31" s="26">
        <v>0.11899999999999999</v>
      </c>
      <c r="K31" s="26"/>
      <c r="L31" s="9"/>
      <c r="M31" s="27">
        <v>44671</v>
      </c>
      <c r="N31" s="25" t="s">
        <v>54</v>
      </c>
      <c r="O31" s="28">
        <v>20</v>
      </c>
      <c r="P31" s="9" t="s">
        <v>59</v>
      </c>
      <c r="Q31" s="27">
        <v>44671</v>
      </c>
      <c r="R31" s="25" t="s">
        <v>54</v>
      </c>
      <c r="S31" s="28">
        <v>20</v>
      </c>
      <c r="T31" s="8"/>
      <c r="U31" s="9"/>
      <c r="V31" s="26"/>
      <c r="W31" s="10"/>
      <c r="X31" s="9" t="s">
        <v>70</v>
      </c>
      <c r="Y31" s="9"/>
      <c r="Z31" s="9"/>
      <c r="AA31" s="9"/>
      <c r="AB31" s="8"/>
      <c r="AC31" s="9"/>
      <c r="AD31" s="9"/>
      <c r="AE31" s="26"/>
      <c r="AF31" s="26"/>
      <c r="AG31" s="9"/>
      <c r="AH31" s="26"/>
      <c r="AI31" s="9"/>
      <c r="AJ31" s="9"/>
      <c r="AK31" s="26"/>
      <c r="AL31" s="8"/>
      <c r="AM31" s="8"/>
      <c r="AN31" s="9"/>
      <c r="AO31" s="26"/>
      <c r="AP31" s="9"/>
      <c r="AQ31" s="26"/>
      <c r="AR31" s="26"/>
      <c r="AS31" s="8">
        <v>44804</v>
      </c>
      <c r="AT31" s="26"/>
      <c r="AU31" s="9"/>
      <c r="AV31" s="9"/>
    </row>
    <row r="32" spans="1:48" ht="63.75">
      <c r="A32" s="8">
        <v>44804</v>
      </c>
      <c r="B32" s="9" t="s">
        <v>62</v>
      </c>
      <c r="C32" s="9">
        <v>30</v>
      </c>
      <c r="D32" s="9" t="s">
        <v>51</v>
      </c>
      <c r="E32" s="10">
        <v>500000</v>
      </c>
      <c r="F32" s="10">
        <v>500000</v>
      </c>
      <c r="G32" s="8">
        <v>44774</v>
      </c>
      <c r="H32" s="8">
        <v>44927</v>
      </c>
      <c r="I32" s="25" t="s">
        <v>74</v>
      </c>
      <c r="J32" s="26">
        <v>0.05</v>
      </c>
      <c r="K32" s="26"/>
      <c r="L32" s="9" t="s">
        <v>75</v>
      </c>
      <c r="M32" s="27">
        <v>44774</v>
      </c>
      <c r="N32" s="25" t="s">
        <v>124</v>
      </c>
      <c r="O32" s="28"/>
      <c r="P32" s="9" t="s">
        <v>76</v>
      </c>
      <c r="Q32" s="27"/>
      <c r="R32" s="25"/>
      <c r="S32" s="28"/>
      <c r="T32" s="8">
        <v>44729</v>
      </c>
      <c r="U32" s="9" t="s">
        <v>124</v>
      </c>
      <c r="V32" s="26"/>
      <c r="W32" s="10"/>
      <c r="X32" s="9"/>
      <c r="Y32" s="9"/>
      <c r="Z32" s="9"/>
      <c r="AA32" s="9" t="s">
        <v>78</v>
      </c>
      <c r="AB32" s="8"/>
      <c r="AC32" s="9"/>
      <c r="AD32" s="9"/>
      <c r="AE32" s="26"/>
      <c r="AF32" s="26"/>
      <c r="AG32" s="9"/>
      <c r="AH32" s="26"/>
      <c r="AI32" s="9"/>
      <c r="AJ32" s="9"/>
      <c r="AK32" s="26"/>
      <c r="AL32" s="8"/>
      <c r="AM32" s="8"/>
      <c r="AN32" s="9"/>
      <c r="AO32" s="26"/>
      <c r="AP32" s="9"/>
      <c r="AQ32" s="26"/>
      <c r="AR32" s="26"/>
      <c r="AS32" s="8">
        <v>44804</v>
      </c>
      <c r="AT32" s="26"/>
      <c r="AU32" s="9"/>
      <c r="AV32" s="9"/>
    </row>
    <row r="33" spans="1:48" ht="63.75">
      <c r="A33" s="8">
        <v>44804</v>
      </c>
      <c r="B33" s="9" t="s">
        <v>62</v>
      </c>
      <c r="C33" s="9">
        <v>31</v>
      </c>
      <c r="D33" s="9" t="s">
        <v>51</v>
      </c>
      <c r="E33" s="10">
        <v>500000</v>
      </c>
      <c r="F33" s="10">
        <v>500000</v>
      </c>
      <c r="G33" s="8">
        <v>44774</v>
      </c>
      <c r="H33" s="8">
        <v>44927</v>
      </c>
      <c r="I33" s="25" t="s">
        <v>74</v>
      </c>
      <c r="J33" s="26">
        <v>0.05</v>
      </c>
      <c r="K33" s="26"/>
      <c r="L33" s="9" t="s">
        <v>75</v>
      </c>
      <c r="M33" s="27">
        <v>44774</v>
      </c>
      <c r="N33" s="25" t="s">
        <v>54</v>
      </c>
      <c r="O33" s="28">
        <v>1</v>
      </c>
      <c r="P33" s="9" t="s">
        <v>76</v>
      </c>
      <c r="Q33" s="27"/>
      <c r="R33" s="25"/>
      <c r="S33" s="28"/>
      <c r="T33" s="8">
        <v>44729</v>
      </c>
      <c r="U33" s="9" t="s">
        <v>124</v>
      </c>
      <c r="V33" s="26"/>
      <c r="W33" s="10"/>
      <c r="X33" s="9"/>
      <c r="Y33" s="9"/>
      <c r="Z33" s="9"/>
      <c r="AA33" s="9" t="s">
        <v>78</v>
      </c>
      <c r="AB33" s="8"/>
      <c r="AC33" s="9"/>
      <c r="AD33" s="9"/>
      <c r="AE33" s="26"/>
      <c r="AF33" s="26"/>
      <c r="AG33" s="9"/>
      <c r="AH33" s="26"/>
      <c r="AI33" s="9"/>
      <c r="AJ33" s="9"/>
      <c r="AK33" s="26"/>
      <c r="AL33" s="8"/>
      <c r="AM33" s="8"/>
      <c r="AN33" s="9"/>
      <c r="AO33" s="26"/>
      <c r="AP33" s="9"/>
      <c r="AQ33" s="26"/>
      <c r="AR33" s="26"/>
      <c r="AS33" s="8">
        <v>44804</v>
      </c>
      <c r="AT33" s="26"/>
      <c r="AU33" s="9"/>
      <c r="AV33" s="9"/>
    </row>
    <row r="34" spans="1:48" ht="63.75">
      <c r="A34" s="8">
        <v>44804</v>
      </c>
      <c r="B34" s="9" t="s">
        <v>62</v>
      </c>
      <c r="C34" s="9">
        <v>32</v>
      </c>
      <c r="D34" s="9" t="s">
        <v>125</v>
      </c>
      <c r="E34" s="10">
        <v>500000</v>
      </c>
      <c r="F34" s="10">
        <v>500000</v>
      </c>
      <c r="G34" s="8">
        <v>44774</v>
      </c>
      <c r="H34" s="8">
        <v>44927</v>
      </c>
      <c r="I34" s="25" t="s">
        <v>74</v>
      </c>
      <c r="J34" s="26">
        <v>0.05</v>
      </c>
      <c r="K34" s="26"/>
      <c r="L34" s="9" t="s">
        <v>75</v>
      </c>
      <c r="M34" s="27">
        <v>44774</v>
      </c>
      <c r="N34" s="25" t="s">
        <v>54</v>
      </c>
      <c r="O34" s="28">
        <v>1</v>
      </c>
      <c r="P34" s="9" t="s">
        <v>76</v>
      </c>
      <c r="Q34" s="27"/>
      <c r="R34" s="25"/>
      <c r="S34" s="28"/>
      <c r="T34" s="8">
        <v>44743</v>
      </c>
      <c r="U34" s="9" t="s">
        <v>54</v>
      </c>
      <c r="V34" s="26"/>
      <c r="W34" s="10"/>
      <c r="X34" s="9"/>
      <c r="Y34" s="9"/>
      <c r="Z34" s="9"/>
      <c r="AA34" s="9" t="s">
        <v>78</v>
      </c>
      <c r="AB34" s="8"/>
      <c r="AC34" s="9"/>
      <c r="AD34" s="9"/>
      <c r="AE34" s="26"/>
      <c r="AF34" s="26"/>
      <c r="AG34" s="9"/>
      <c r="AH34" s="26"/>
      <c r="AI34" s="9"/>
      <c r="AJ34" s="9"/>
      <c r="AK34" s="26"/>
      <c r="AL34" s="8"/>
      <c r="AM34" s="8"/>
      <c r="AN34" s="9"/>
      <c r="AO34" s="26"/>
      <c r="AP34" s="9"/>
      <c r="AQ34" s="26"/>
      <c r="AR34" s="26"/>
      <c r="AS34" s="8">
        <v>44804</v>
      </c>
      <c r="AT34" s="26"/>
      <c r="AU34" s="9"/>
      <c r="AV34" s="9"/>
    </row>
    <row r="35" spans="1:48" ht="63.75">
      <c r="A35" s="8">
        <v>44804</v>
      </c>
      <c r="B35" s="9" t="s">
        <v>62</v>
      </c>
      <c r="C35" s="9">
        <v>33</v>
      </c>
      <c r="D35" s="9" t="s">
        <v>51</v>
      </c>
      <c r="E35" s="10">
        <v>500000</v>
      </c>
      <c r="F35" s="10">
        <v>500000</v>
      </c>
      <c r="G35" s="8">
        <v>44774</v>
      </c>
      <c r="H35" s="8">
        <v>44927</v>
      </c>
      <c r="I35" s="25" t="s">
        <v>74</v>
      </c>
      <c r="J35" s="26">
        <v>0.05</v>
      </c>
      <c r="K35" s="26"/>
      <c r="L35" s="9" t="s">
        <v>75</v>
      </c>
      <c r="M35" s="27">
        <v>44774</v>
      </c>
      <c r="N35" s="25" t="s">
        <v>54</v>
      </c>
      <c r="O35" s="28">
        <v>1</v>
      </c>
      <c r="P35" s="9" t="s">
        <v>76</v>
      </c>
      <c r="Q35" s="27"/>
      <c r="R35" s="25"/>
      <c r="S35" s="28"/>
      <c r="T35" s="8">
        <v>44713</v>
      </c>
      <c r="U35" s="9" t="s">
        <v>77</v>
      </c>
      <c r="V35" s="26"/>
      <c r="W35" s="10"/>
      <c r="X35" s="9"/>
      <c r="Y35" s="9"/>
      <c r="Z35" s="9"/>
      <c r="AA35" s="9" t="s">
        <v>78</v>
      </c>
      <c r="AB35" s="8"/>
      <c r="AC35" s="9"/>
      <c r="AD35" s="9"/>
      <c r="AE35" s="26"/>
      <c r="AF35" s="26"/>
      <c r="AG35" s="9"/>
      <c r="AH35" s="26"/>
      <c r="AI35" s="9"/>
      <c r="AJ35" s="9"/>
      <c r="AK35" s="26"/>
      <c r="AL35" s="8"/>
      <c r="AM35" s="8"/>
      <c r="AN35" s="9"/>
      <c r="AO35" s="26"/>
      <c r="AP35" s="9"/>
      <c r="AQ35" s="26"/>
      <c r="AR35" s="26"/>
      <c r="AS35" s="8">
        <v>44804</v>
      </c>
      <c r="AT35" s="26"/>
      <c r="AU35" s="9"/>
      <c r="AV35" s="9"/>
    </row>
    <row r="36" spans="1:48" ht="63.75">
      <c r="A36" s="8">
        <v>44804</v>
      </c>
      <c r="B36" s="9" t="s">
        <v>62</v>
      </c>
      <c r="C36" s="9">
        <v>34</v>
      </c>
      <c r="D36" s="9" t="s">
        <v>51</v>
      </c>
      <c r="E36" s="10">
        <v>500000</v>
      </c>
      <c r="F36" s="10">
        <v>500000</v>
      </c>
      <c r="G36" s="8">
        <v>44774</v>
      </c>
      <c r="H36" s="8">
        <v>44927</v>
      </c>
      <c r="I36" s="25" t="s">
        <v>74</v>
      </c>
      <c r="J36" s="26">
        <v>0.05</v>
      </c>
      <c r="K36" s="26"/>
      <c r="L36" s="9" t="s">
        <v>75</v>
      </c>
      <c r="M36" s="27">
        <v>44774</v>
      </c>
      <c r="N36" s="25" t="s">
        <v>54</v>
      </c>
      <c r="O36" s="28">
        <v>1</v>
      </c>
      <c r="P36" s="9" t="s">
        <v>76</v>
      </c>
      <c r="Q36" s="27"/>
      <c r="R36" s="25"/>
      <c r="S36" s="28"/>
      <c r="T36" s="8"/>
      <c r="U36" s="9"/>
      <c r="V36" s="26"/>
      <c r="W36" s="10"/>
      <c r="X36" s="9"/>
      <c r="Y36" s="9"/>
      <c r="Z36" s="9"/>
      <c r="AA36" s="9" t="s">
        <v>78</v>
      </c>
      <c r="AB36" s="8"/>
      <c r="AC36" s="9"/>
      <c r="AD36" s="9"/>
      <c r="AE36" s="26"/>
      <c r="AF36" s="26"/>
      <c r="AG36" s="9"/>
      <c r="AH36" s="26"/>
      <c r="AI36" s="9"/>
      <c r="AJ36" s="9"/>
      <c r="AK36" s="26"/>
      <c r="AL36" s="8"/>
      <c r="AM36" s="8"/>
      <c r="AN36" s="9"/>
      <c r="AO36" s="26"/>
      <c r="AP36" s="9"/>
      <c r="AQ36" s="26"/>
      <c r="AR36" s="26"/>
      <c r="AS36" s="8">
        <v>44804</v>
      </c>
      <c r="AT36" s="26"/>
      <c r="AU36" s="9"/>
      <c r="AV36" s="9"/>
    </row>
    <row r="37" spans="1:48">
      <c r="A37" s="8">
        <v>44804</v>
      </c>
      <c r="B37" s="9" t="s">
        <v>62</v>
      </c>
      <c r="C37" s="9">
        <v>35</v>
      </c>
      <c r="D37" s="9" t="s">
        <v>51</v>
      </c>
      <c r="E37" s="10">
        <v>500000</v>
      </c>
      <c r="F37" s="10">
        <v>500000</v>
      </c>
      <c r="G37" s="8">
        <v>44774</v>
      </c>
      <c r="H37" s="8">
        <v>44927</v>
      </c>
      <c r="I37" s="25" t="s">
        <v>74</v>
      </c>
      <c r="J37" s="26">
        <v>0.05</v>
      </c>
      <c r="K37" s="26"/>
      <c r="L37" s="9" t="s">
        <v>75</v>
      </c>
      <c r="M37" s="27">
        <v>44774</v>
      </c>
      <c r="N37" s="25" t="s">
        <v>54</v>
      </c>
      <c r="O37" s="28">
        <v>1</v>
      </c>
      <c r="P37" s="9" t="s">
        <v>76</v>
      </c>
      <c r="Q37" s="27"/>
      <c r="R37" s="25"/>
      <c r="S37" s="28"/>
      <c r="T37" s="8">
        <v>44742</v>
      </c>
      <c r="U37" s="9" t="s">
        <v>77</v>
      </c>
      <c r="V37" s="26">
        <v>-1</v>
      </c>
      <c r="W37" s="10"/>
      <c r="X37" s="9"/>
      <c r="Y37" s="9"/>
      <c r="Z37" s="9"/>
      <c r="AA37" s="9"/>
      <c r="AB37" s="8"/>
      <c r="AC37" s="9"/>
      <c r="AD37" s="9"/>
      <c r="AE37" s="26"/>
      <c r="AF37" s="26"/>
      <c r="AG37" s="9"/>
      <c r="AH37" s="26"/>
      <c r="AI37" s="9"/>
      <c r="AJ37" s="9"/>
      <c r="AK37" s="26"/>
      <c r="AL37" s="8"/>
      <c r="AM37" s="8"/>
      <c r="AN37" s="9"/>
      <c r="AO37" s="26"/>
      <c r="AP37" s="9"/>
      <c r="AQ37" s="26"/>
      <c r="AR37" s="26"/>
      <c r="AS37" s="8">
        <v>44804</v>
      </c>
      <c r="AT37" s="26"/>
      <c r="AU37" s="9"/>
      <c r="AV37" s="9"/>
    </row>
    <row r="38" spans="1:48">
      <c r="A38" s="8">
        <v>44804</v>
      </c>
      <c r="B38" s="9" t="s">
        <v>62</v>
      </c>
      <c r="C38" s="9">
        <v>36</v>
      </c>
      <c r="D38" s="9" t="s">
        <v>51</v>
      </c>
      <c r="E38" s="10">
        <v>500000</v>
      </c>
      <c r="F38" s="10">
        <v>500000</v>
      </c>
      <c r="G38" s="8">
        <v>44774</v>
      </c>
      <c r="H38" s="8">
        <v>44927</v>
      </c>
      <c r="I38" s="25" t="s">
        <v>74</v>
      </c>
      <c r="J38" s="26">
        <v>0.05</v>
      </c>
      <c r="K38" s="26"/>
      <c r="L38" s="9" t="s">
        <v>75</v>
      </c>
      <c r="M38" s="27">
        <v>44774</v>
      </c>
      <c r="N38" s="25" t="s">
        <v>119</v>
      </c>
      <c r="O38" s="28"/>
      <c r="P38" s="9" t="s">
        <v>76</v>
      </c>
      <c r="Q38" s="27">
        <v>44774</v>
      </c>
      <c r="R38" s="25" t="s">
        <v>119</v>
      </c>
      <c r="S38" s="28"/>
      <c r="T38" s="8"/>
      <c r="U38" s="9"/>
      <c r="V38" s="26"/>
      <c r="W38" s="10">
        <v>1000</v>
      </c>
      <c r="X38" s="9"/>
      <c r="Y38" s="9"/>
      <c r="Z38" s="9"/>
      <c r="AA38" s="9"/>
      <c r="AB38" s="8"/>
      <c r="AC38" s="9"/>
      <c r="AD38" s="9"/>
      <c r="AE38" s="26"/>
      <c r="AF38" s="26"/>
      <c r="AG38" s="9"/>
      <c r="AH38" s="26"/>
      <c r="AI38" s="9"/>
      <c r="AJ38" s="9"/>
      <c r="AK38" s="26"/>
      <c r="AL38" s="8"/>
      <c r="AM38" s="8"/>
      <c r="AN38" s="9"/>
      <c r="AO38" s="26"/>
      <c r="AP38" s="9"/>
      <c r="AQ38" s="26"/>
      <c r="AR38" s="26"/>
      <c r="AS38" s="8">
        <v>44804</v>
      </c>
      <c r="AT38" s="26"/>
      <c r="AU38" s="9"/>
      <c r="AV38" s="9"/>
    </row>
    <row r="39" spans="1:48">
      <c r="A39" s="8">
        <v>44804</v>
      </c>
      <c r="B39" s="9" t="s">
        <v>62</v>
      </c>
      <c r="C39" s="9">
        <v>37</v>
      </c>
      <c r="D39" s="9" t="s">
        <v>51</v>
      </c>
      <c r="E39" s="10">
        <v>500000</v>
      </c>
      <c r="F39" s="10">
        <v>500000</v>
      </c>
      <c r="G39" s="8">
        <v>44774</v>
      </c>
      <c r="H39" s="8">
        <v>44927</v>
      </c>
      <c r="I39" s="25" t="s">
        <v>74</v>
      </c>
      <c r="J39" s="26">
        <v>0.05</v>
      </c>
      <c r="K39" s="26"/>
      <c r="L39" s="9" t="s">
        <v>75</v>
      </c>
      <c r="M39" s="27">
        <v>44774</v>
      </c>
      <c r="N39" s="25" t="s">
        <v>119</v>
      </c>
      <c r="O39" s="28"/>
      <c r="P39" s="9" t="s">
        <v>76</v>
      </c>
      <c r="Q39" s="27">
        <v>44774</v>
      </c>
      <c r="R39" s="25" t="s">
        <v>119</v>
      </c>
      <c r="S39" s="28"/>
      <c r="T39" s="8">
        <v>44713</v>
      </c>
      <c r="U39" s="9" t="s">
        <v>77</v>
      </c>
      <c r="V39" s="26"/>
      <c r="W39" s="10">
        <v>1000</v>
      </c>
      <c r="X39" s="9"/>
      <c r="Y39" s="9"/>
      <c r="Z39" s="9"/>
      <c r="AA39" s="9"/>
      <c r="AB39" s="8"/>
      <c r="AC39" s="9"/>
      <c r="AD39" s="9"/>
      <c r="AE39" s="26"/>
      <c r="AF39" s="26"/>
      <c r="AG39" s="9"/>
      <c r="AH39" s="26"/>
      <c r="AI39" s="9"/>
      <c r="AJ39" s="9"/>
      <c r="AK39" s="26"/>
      <c r="AL39" s="8"/>
      <c r="AM39" s="8"/>
      <c r="AN39" s="9"/>
      <c r="AO39" s="26"/>
      <c r="AP39" s="9"/>
      <c r="AQ39" s="26"/>
      <c r="AR39" s="26"/>
      <c r="AS39" s="8">
        <v>44804</v>
      </c>
      <c r="AT39" s="26"/>
      <c r="AU39" s="9"/>
      <c r="AV39" s="9"/>
    </row>
    <row r="40" spans="1:48">
      <c r="A40" s="8">
        <v>44804</v>
      </c>
      <c r="B40" s="9" t="s">
        <v>62</v>
      </c>
      <c r="C40" s="9">
        <v>38</v>
      </c>
      <c r="D40" s="9" t="s">
        <v>51</v>
      </c>
      <c r="E40" s="10">
        <v>500000</v>
      </c>
      <c r="F40" s="10">
        <v>500000</v>
      </c>
      <c r="G40" s="8">
        <v>44774</v>
      </c>
      <c r="H40" s="8">
        <v>44927</v>
      </c>
      <c r="I40" s="25" t="s">
        <v>74</v>
      </c>
      <c r="J40" s="26">
        <v>0.05</v>
      </c>
      <c r="K40" s="26"/>
      <c r="L40" s="9" t="s">
        <v>75</v>
      </c>
      <c r="M40" s="27">
        <v>44774</v>
      </c>
      <c r="N40" s="25" t="s">
        <v>119</v>
      </c>
      <c r="O40" s="28"/>
      <c r="P40" s="9" t="s">
        <v>76</v>
      </c>
      <c r="Q40" s="27">
        <v>44774</v>
      </c>
      <c r="R40" s="25" t="s">
        <v>119</v>
      </c>
      <c r="S40" s="28"/>
      <c r="T40" s="8">
        <v>44621</v>
      </c>
      <c r="U40" s="9" t="s">
        <v>126</v>
      </c>
      <c r="V40" s="26"/>
      <c r="W40" s="10">
        <v>1000</v>
      </c>
      <c r="X40" s="9"/>
      <c r="Y40" s="9"/>
      <c r="Z40" s="9"/>
      <c r="AA40" s="9"/>
      <c r="AB40" s="8"/>
      <c r="AC40" s="9"/>
      <c r="AD40" s="9"/>
      <c r="AE40" s="26"/>
      <c r="AF40" s="26"/>
      <c r="AG40" s="9"/>
      <c r="AH40" s="26"/>
      <c r="AI40" s="9"/>
      <c r="AJ40" s="9"/>
      <c r="AK40" s="26"/>
      <c r="AL40" s="8"/>
      <c r="AM40" s="8"/>
      <c r="AN40" s="9"/>
      <c r="AO40" s="26"/>
      <c r="AP40" s="9"/>
      <c r="AQ40" s="26"/>
      <c r="AR40" s="26"/>
      <c r="AS40" s="8">
        <v>44804</v>
      </c>
      <c r="AT40" s="26"/>
      <c r="AU40" s="9"/>
      <c r="AV40" s="9"/>
    </row>
    <row r="41" spans="1:48">
      <c r="A41" s="8">
        <v>44804</v>
      </c>
      <c r="B41" s="9" t="s">
        <v>62</v>
      </c>
      <c r="C41" s="9">
        <v>39</v>
      </c>
      <c r="D41" s="9" t="s">
        <v>51</v>
      </c>
      <c r="E41" s="10">
        <v>500000</v>
      </c>
      <c r="F41" s="10">
        <v>500000</v>
      </c>
      <c r="G41" s="8">
        <v>44774</v>
      </c>
      <c r="H41" s="8">
        <v>44927</v>
      </c>
      <c r="I41" s="25" t="s">
        <v>74</v>
      </c>
      <c r="J41" s="26">
        <v>0.05</v>
      </c>
      <c r="K41" s="26"/>
      <c r="L41" s="9" t="s">
        <v>75</v>
      </c>
      <c r="M41" s="27">
        <v>44774</v>
      </c>
      <c r="N41" s="25" t="s">
        <v>119</v>
      </c>
      <c r="O41" s="28"/>
      <c r="P41" s="9" t="s">
        <v>76</v>
      </c>
      <c r="Q41" s="27">
        <v>44774</v>
      </c>
      <c r="R41" s="25" t="s">
        <v>119</v>
      </c>
      <c r="S41" s="28"/>
      <c r="T41" s="8">
        <v>44729</v>
      </c>
      <c r="U41" s="9" t="s">
        <v>124</v>
      </c>
      <c r="V41" s="26"/>
      <c r="W41" s="10">
        <v>1000</v>
      </c>
      <c r="X41" s="9"/>
      <c r="Y41" s="9"/>
      <c r="Z41" s="9"/>
      <c r="AA41" s="9"/>
      <c r="AB41" s="8"/>
      <c r="AC41" s="9"/>
      <c r="AD41" s="9"/>
      <c r="AE41" s="26"/>
      <c r="AF41" s="26"/>
      <c r="AG41" s="9"/>
      <c r="AH41" s="26"/>
      <c r="AI41" s="9"/>
      <c r="AJ41" s="9"/>
      <c r="AK41" s="26"/>
      <c r="AL41" s="8"/>
      <c r="AM41" s="8"/>
      <c r="AN41" s="9"/>
      <c r="AO41" s="26"/>
      <c r="AP41" s="9"/>
      <c r="AQ41" s="26"/>
      <c r="AR41" s="26"/>
      <c r="AS41" s="8">
        <v>44804</v>
      </c>
      <c r="AT41" s="26"/>
      <c r="AU41" s="9"/>
      <c r="AV41" s="9"/>
    </row>
    <row r="42" spans="1:48">
      <c r="A42" s="8">
        <v>44804</v>
      </c>
      <c r="B42" s="9" t="s">
        <v>62</v>
      </c>
      <c r="C42" s="9">
        <v>40</v>
      </c>
      <c r="D42" s="9" t="s">
        <v>51</v>
      </c>
      <c r="E42" s="10">
        <v>500000</v>
      </c>
      <c r="F42" s="10">
        <v>500000</v>
      </c>
      <c r="G42" s="8">
        <v>44774</v>
      </c>
      <c r="H42" s="8">
        <v>44927</v>
      </c>
      <c r="I42" s="25" t="s">
        <v>74</v>
      </c>
      <c r="J42" s="26">
        <v>0.05</v>
      </c>
      <c r="K42" s="26"/>
      <c r="L42" s="9" t="s">
        <v>75</v>
      </c>
      <c r="M42" s="27">
        <v>44774</v>
      </c>
      <c r="N42" s="25" t="s">
        <v>119</v>
      </c>
      <c r="O42" s="28"/>
      <c r="P42" s="9" t="s">
        <v>76</v>
      </c>
      <c r="Q42" s="27">
        <v>44774</v>
      </c>
      <c r="R42" s="25" t="s">
        <v>119</v>
      </c>
      <c r="S42" s="28"/>
      <c r="T42" s="8">
        <v>44621</v>
      </c>
      <c r="U42" s="9" t="s">
        <v>127</v>
      </c>
      <c r="V42" s="26"/>
      <c r="W42" s="10">
        <v>1000</v>
      </c>
      <c r="X42" s="9"/>
      <c r="Y42" s="9"/>
      <c r="Z42" s="9"/>
      <c r="AA42" s="9"/>
      <c r="AB42" s="8"/>
      <c r="AC42" s="9"/>
      <c r="AD42" s="9"/>
      <c r="AE42" s="26"/>
      <c r="AF42" s="26"/>
      <c r="AG42" s="9"/>
      <c r="AH42" s="26"/>
      <c r="AI42" s="9"/>
      <c r="AJ42" s="9"/>
      <c r="AK42" s="26"/>
      <c r="AL42" s="8"/>
      <c r="AM42" s="8"/>
      <c r="AN42" s="9"/>
      <c r="AO42" s="26"/>
      <c r="AP42" s="9"/>
      <c r="AQ42" s="26"/>
      <c r="AR42" s="26"/>
      <c r="AS42" s="8">
        <v>44804</v>
      </c>
      <c r="AT42" s="26"/>
      <c r="AU42" s="9"/>
      <c r="AV42" s="9"/>
    </row>
    <row r="43" spans="1:48">
      <c r="A43" s="8">
        <v>44804</v>
      </c>
      <c r="B43" s="9" t="s">
        <v>62</v>
      </c>
      <c r="C43" s="9">
        <v>41</v>
      </c>
      <c r="D43" s="9" t="s">
        <v>51</v>
      </c>
      <c r="E43" s="10"/>
      <c r="F43" s="10">
        <v>-12000000</v>
      </c>
      <c r="G43" s="8">
        <v>44616</v>
      </c>
      <c r="H43" s="8">
        <v>44919</v>
      </c>
      <c r="I43" s="25" t="s">
        <v>74</v>
      </c>
      <c r="J43" s="26">
        <v>0.05</v>
      </c>
      <c r="K43" s="26"/>
      <c r="L43" s="9" t="s">
        <v>75</v>
      </c>
      <c r="M43" s="27">
        <v>44673</v>
      </c>
      <c r="N43" s="25" t="s">
        <v>54</v>
      </c>
      <c r="O43" s="28"/>
      <c r="P43" s="9" t="s">
        <v>59</v>
      </c>
      <c r="Q43" s="27"/>
      <c r="R43" s="25" t="s">
        <v>119</v>
      </c>
      <c r="S43" s="28"/>
      <c r="T43" s="8">
        <v>44743</v>
      </c>
      <c r="U43" s="9" t="s">
        <v>54</v>
      </c>
      <c r="V43" s="26">
        <v>1</v>
      </c>
      <c r="W43" s="10"/>
      <c r="X43" s="9"/>
      <c r="Y43" s="9"/>
      <c r="Z43" s="9"/>
      <c r="AA43" s="9"/>
      <c r="AB43" s="8"/>
      <c r="AC43" s="9"/>
      <c r="AD43" s="9"/>
      <c r="AE43" s="26"/>
      <c r="AF43" s="26"/>
      <c r="AG43" s="9"/>
      <c r="AH43" s="26"/>
      <c r="AI43" s="9"/>
      <c r="AJ43" s="9"/>
      <c r="AK43" s="26"/>
      <c r="AL43" s="8"/>
      <c r="AM43" s="8"/>
      <c r="AN43" s="9"/>
      <c r="AO43" s="26"/>
      <c r="AP43" s="9"/>
      <c r="AQ43" s="26"/>
      <c r="AR43" s="26"/>
      <c r="AS43" s="8">
        <v>44804</v>
      </c>
      <c r="AT43" s="26"/>
      <c r="AU43" s="9"/>
      <c r="AV43" s="9"/>
    </row>
    <row r="44" spans="1:48" ht="25.5">
      <c r="A44" s="8">
        <v>44804</v>
      </c>
      <c r="B44" s="9" t="s">
        <v>71</v>
      </c>
      <c r="C44" s="9">
        <v>42</v>
      </c>
      <c r="D44" s="9" t="s">
        <v>51</v>
      </c>
      <c r="E44" s="10"/>
      <c r="F44" s="10">
        <v>500000</v>
      </c>
      <c r="G44" s="8">
        <v>44774</v>
      </c>
      <c r="H44" s="8">
        <v>44927</v>
      </c>
      <c r="I44" s="25" t="s">
        <v>74</v>
      </c>
      <c r="J44" s="26">
        <v>0.04</v>
      </c>
      <c r="K44" s="26">
        <v>0.08</v>
      </c>
      <c r="L44" s="9" t="s">
        <v>75</v>
      </c>
      <c r="M44" s="27">
        <v>44774</v>
      </c>
      <c r="N44" s="25" t="s">
        <v>54</v>
      </c>
      <c r="O44" s="28">
        <v>1</v>
      </c>
      <c r="P44" s="9" t="s">
        <v>76</v>
      </c>
      <c r="Q44" s="27"/>
      <c r="R44" s="25"/>
      <c r="S44" s="28"/>
      <c r="T44" s="8"/>
      <c r="U44" s="9"/>
      <c r="V44" s="26"/>
      <c r="W44" s="10"/>
      <c r="X44" s="9"/>
      <c r="Y44" s="9"/>
      <c r="Z44" s="9"/>
      <c r="AA44" s="9"/>
      <c r="AB44" s="8" t="s">
        <v>128</v>
      </c>
      <c r="AC44" s="9"/>
      <c r="AD44" s="9"/>
      <c r="AE44" s="26"/>
      <c r="AF44" s="26"/>
      <c r="AG44" s="9"/>
      <c r="AH44" s="26"/>
      <c r="AI44" s="9"/>
      <c r="AJ44" s="9"/>
      <c r="AK44" s="26"/>
      <c r="AL44" s="8"/>
      <c r="AM44" s="8"/>
      <c r="AN44" s="9"/>
      <c r="AO44" s="26"/>
      <c r="AP44" s="9"/>
      <c r="AQ44" s="26"/>
      <c r="AR44" s="26"/>
      <c r="AS44" s="8">
        <v>44804</v>
      </c>
      <c r="AT44" s="26"/>
      <c r="AU44" s="9"/>
      <c r="AV44" s="9"/>
    </row>
    <row r="45" spans="1:48" ht="25.5">
      <c r="A45" s="8">
        <v>44804</v>
      </c>
      <c r="B45" s="9" t="s">
        <v>71</v>
      </c>
      <c r="C45" s="9">
        <v>43</v>
      </c>
      <c r="D45" s="9" t="s">
        <v>51</v>
      </c>
      <c r="E45" s="10"/>
      <c r="F45" s="10">
        <v>500000</v>
      </c>
      <c r="G45" s="8">
        <v>44774</v>
      </c>
      <c r="H45" s="8">
        <v>44927</v>
      </c>
      <c r="I45" s="25" t="s">
        <v>74</v>
      </c>
      <c r="J45" s="26">
        <v>0.04</v>
      </c>
      <c r="K45" s="26">
        <v>0.08</v>
      </c>
      <c r="L45" s="9" t="s">
        <v>75</v>
      </c>
      <c r="M45" s="27"/>
      <c r="N45" s="25"/>
      <c r="O45" s="28"/>
      <c r="P45" s="9" t="s">
        <v>76</v>
      </c>
      <c r="Q45" s="27"/>
      <c r="R45" s="25"/>
      <c r="S45" s="28"/>
      <c r="T45" s="8">
        <v>44629</v>
      </c>
      <c r="U45" s="9" t="s">
        <v>129</v>
      </c>
      <c r="V45" s="26">
        <v>9</v>
      </c>
      <c r="W45" s="10"/>
      <c r="X45" s="9"/>
      <c r="Y45" s="9"/>
      <c r="Z45" s="9"/>
      <c r="AA45" s="9"/>
      <c r="AB45" s="8" t="s">
        <v>128</v>
      </c>
      <c r="AC45" s="9"/>
      <c r="AD45" s="9"/>
      <c r="AE45" s="26"/>
      <c r="AF45" s="26"/>
      <c r="AG45" s="9"/>
      <c r="AH45" s="26"/>
      <c r="AI45" s="9"/>
      <c r="AJ45" s="9"/>
      <c r="AK45" s="26"/>
      <c r="AL45" s="8"/>
      <c r="AM45" s="8"/>
      <c r="AN45" s="9"/>
      <c r="AO45" s="26"/>
      <c r="AP45" s="9"/>
      <c r="AQ45" s="26"/>
      <c r="AR45" s="26"/>
      <c r="AS45" s="8">
        <v>44804</v>
      </c>
      <c r="AT45" s="26"/>
      <c r="AU45" s="9"/>
      <c r="AV45" s="9"/>
    </row>
    <row r="46" spans="1:48" ht="51">
      <c r="A46" s="8">
        <v>44804</v>
      </c>
      <c r="B46" s="9" t="s">
        <v>62</v>
      </c>
      <c r="C46" s="9">
        <v>44</v>
      </c>
      <c r="D46" s="9" t="s">
        <v>51</v>
      </c>
      <c r="E46" s="10"/>
      <c r="F46" s="10">
        <v>224204.19</v>
      </c>
      <c r="G46" s="8">
        <v>44074</v>
      </c>
      <c r="H46" s="8">
        <v>44925</v>
      </c>
      <c r="I46" s="25" t="s">
        <v>52</v>
      </c>
      <c r="J46" s="26">
        <v>0.09</v>
      </c>
      <c r="K46" s="26"/>
      <c r="L46" s="9"/>
      <c r="M46" s="27"/>
      <c r="N46" s="25"/>
      <c r="O46" s="28"/>
      <c r="P46" s="9" t="s">
        <v>59</v>
      </c>
      <c r="Q46" s="27"/>
      <c r="R46" s="25"/>
      <c r="S46" s="28"/>
      <c r="T46" s="8"/>
      <c r="U46" s="9"/>
      <c r="V46" s="26"/>
      <c r="W46" s="10">
        <v>0</v>
      </c>
      <c r="X46" s="9" t="s">
        <v>70</v>
      </c>
      <c r="Y46" s="9"/>
      <c r="Z46" s="9" t="s">
        <v>81</v>
      </c>
      <c r="AA46" s="9" t="s">
        <v>82</v>
      </c>
      <c r="AB46" s="8">
        <v>44804</v>
      </c>
      <c r="AC46" s="9"/>
      <c r="AD46" s="9" t="s">
        <v>83</v>
      </c>
      <c r="AE46" s="26"/>
      <c r="AF46" s="26"/>
      <c r="AG46" s="9"/>
      <c r="AH46" s="26"/>
      <c r="AI46" s="9"/>
      <c r="AJ46" s="9"/>
      <c r="AK46" s="26"/>
      <c r="AL46" s="8"/>
      <c r="AM46" s="8"/>
      <c r="AN46" s="9"/>
      <c r="AO46" s="26"/>
      <c r="AP46" s="9"/>
      <c r="AQ46" s="26"/>
      <c r="AR46" s="26"/>
      <c r="AS46" s="8">
        <v>44804</v>
      </c>
      <c r="AT46" s="26"/>
      <c r="AU46" s="9"/>
      <c r="AV46" s="9"/>
    </row>
    <row r="47" spans="1:48" ht="51">
      <c r="A47" s="8">
        <v>44804</v>
      </c>
      <c r="B47" s="9" t="s">
        <v>62</v>
      </c>
      <c r="C47" s="9">
        <v>45</v>
      </c>
      <c r="D47" s="9" t="s">
        <v>51</v>
      </c>
      <c r="E47" s="10"/>
      <c r="F47" s="10">
        <v>156750</v>
      </c>
      <c r="G47" s="8">
        <v>44698</v>
      </c>
      <c r="H47" s="8">
        <v>44935</v>
      </c>
      <c r="I47" s="25" t="s">
        <v>74</v>
      </c>
      <c r="J47" s="26">
        <v>0.05</v>
      </c>
      <c r="K47" s="26">
        <v>0.08</v>
      </c>
      <c r="L47" s="9" t="s">
        <v>75</v>
      </c>
      <c r="M47" s="27"/>
      <c r="N47" s="25"/>
      <c r="O47" s="28"/>
      <c r="P47" s="9" t="s">
        <v>59</v>
      </c>
      <c r="Q47" s="27"/>
      <c r="R47" s="25"/>
      <c r="S47" s="28"/>
      <c r="T47" s="8"/>
      <c r="U47" s="9"/>
      <c r="V47" s="26"/>
      <c r="W47" s="10"/>
      <c r="X47" s="9" t="s">
        <v>70</v>
      </c>
      <c r="Y47" s="9"/>
      <c r="Z47" s="9" t="s">
        <v>130</v>
      </c>
      <c r="AA47" s="9" t="s">
        <v>131</v>
      </c>
      <c r="AB47" s="8">
        <v>44895</v>
      </c>
      <c r="AC47" s="9"/>
      <c r="AD47" s="9"/>
      <c r="AE47" s="26"/>
      <c r="AF47" s="26"/>
      <c r="AG47" s="9"/>
      <c r="AH47" s="26"/>
      <c r="AI47" s="9"/>
      <c r="AJ47" s="9"/>
      <c r="AK47" s="26"/>
      <c r="AL47" s="8"/>
      <c r="AM47" s="8"/>
      <c r="AN47" s="9"/>
      <c r="AO47" s="26"/>
      <c r="AP47" s="9"/>
      <c r="AQ47" s="26"/>
      <c r="AR47" s="26"/>
      <c r="AS47" s="8">
        <v>44804</v>
      </c>
      <c r="AT47" s="26"/>
      <c r="AU47" s="9"/>
      <c r="AV47" s="9"/>
    </row>
    <row r="48" spans="1:48" ht="51">
      <c r="A48" s="8">
        <v>44804</v>
      </c>
      <c r="B48" s="9" t="s">
        <v>62</v>
      </c>
      <c r="C48" s="9">
        <v>46</v>
      </c>
      <c r="D48" s="9" t="s">
        <v>51</v>
      </c>
      <c r="E48" s="10"/>
      <c r="F48" s="10">
        <v>156750</v>
      </c>
      <c r="G48" s="8">
        <v>44698</v>
      </c>
      <c r="H48" s="8">
        <v>44935</v>
      </c>
      <c r="I48" s="25" t="s">
        <v>74</v>
      </c>
      <c r="J48" s="26">
        <v>0.05</v>
      </c>
      <c r="K48" s="26">
        <v>0.08</v>
      </c>
      <c r="L48" s="9" t="s">
        <v>75</v>
      </c>
      <c r="M48" s="27"/>
      <c r="N48" s="25"/>
      <c r="O48" s="28"/>
      <c r="P48" s="9" t="s">
        <v>59</v>
      </c>
      <c r="Q48" s="27"/>
      <c r="R48" s="25"/>
      <c r="S48" s="28"/>
      <c r="T48" s="8"/>
      <c r="U48" s="9"/>
      <c r="V48" s="26"/>
      <c r="W48" s="10">
        <v>0</v>
      </c>
      <c r="X48" s="9" t="s">
        <v>70</v>
      </c>
      <c r="Y48" s="9"/>
      <c r="Z48" s="9" t="s">
        <v>132</v>
      </c>
      <c r="AA48" s="9" t="s">
        <v>133</v>
      </c>
      <c r="AB48" s="8" t="s">
        <v>134</v>
      </c>
      <c r="AC48" s="9"/>
      <c r="AD48" s="9" t="s">
        <v>135</v>
      </c>
      <c r="AE48" s="26"/>
      <c r="AF48" s="26"/>
      <c r="AG48" s="9"/>
      <c r="AH48" s="26"/>
      <c r="AI48" s="9"/>
      <c r="AJ48" s="9"/>
      <c r="AK48" s="26"/>
      <c r="AL48" s="8"/>
      <c r="AM48" s="8"/>
      <c r="AN48" s="9"/>
      <c r="AO48" s="26"/>
      <c r="AP48" s="9"/>
      <c r="AQ48" s="26"/>
      <c r="AR48" s="26"/>
      <c r="AS48" s="8">
        <v>44804</v>
      </c>
      <c r="AT48" s="26"/>
      <c r="AU48" s="9"/>
      <c r="AV48" s="9"/>
    </row>
    <row r="49" spans="1:48" ht="25.5">
      <c r="A49" s="8">
        <v>44804</v>
      </c>
      <c r="B49" s="9" t="s">
        <v>49</v>
      </c>
      <c r="C49" s="9">
        <v>47</v>
      </c>
      <c r="D49" s="9" t="s">
        <v>51</v>
      </c>
      <c r="E49" s="10"/>
      <c r="F49" s="10">
        <v>379878.38</v>
      </c>
      <c r="G49" s="8">
        <v>44010</v>
      </c>
      <c r="H49" s="8">
        <v>45090</v>
      </c>
      <c r="I49" s="25" t="s">
        <v>52</v>
      </c>
      <c r="J49" s="26">
        <v>7.0000000000000007E-2</v>
      </c>
      <c r="K49" s="26"/>
      <c r="L49" s="9"/>
      <c r="M49" s="27">
        <v>43629</v>
      </c>
      <c r="N49" s="25" t="s">
        <v>54</v>
      </c>
      <c r="O49" s="28">
        <v>13</v>
      </c>
      <c r="P49" s="9" t="s">
        <v>59</v>
      </c>
      <c r="Q49" s="27">
        <v>43629</v>
      </c>
      <c r="R49" s="25" t="s">
        <v>54</v>
      </c>
      <c r="S49" s="28">
        <v>13</v>
      </c>
      <c r="T49" s="8"/>
      <c r="U49" s="9"/>
      <c r="V49" s="26"/>
      <c r="W49" s="10"/>
      <c r="X49" s="9" t="s">
        <v>118</v>
      </c>
      <c r="Y49" s="9" t="s">
        <v>55</v>
      </c>
      <c r="Z49" s="9"/>
      <c r="AA49" s="9"/>
      <c r="AB49" s="8"/>
      <c r="AC49" s="9"/>
      <c r="AD49" s="9"/>
      <c r="AE49" s="26"/>
      <c r="AF49" s="26"/>
      <c r="AG49" s="9" t="s">
        <v>74</v>
      </c>
      <c r="AH49" s="26">
        <v>7.4999999999999997E-2</v>
      </c>
      <c r="AI49" s="9" t="s">
        <v>75</v>
      </c>
      <c r="AJ49" s="9" t="s">
        <v>54</v>
      </c>
      <c r="AK49" s="26">
        <v>13</v>
      </c>
      <c r="AL49" s="8">
        <v>44010</v>
      </c>
      <c r="AM49" s="8">
        <v>44010</v>
      </c>
      <c r="AN49" s="9" t="s">
        <v>54</v>
      </c>
      <c r="AO49" s="26">
        <v>-1</v>
      </c>
      <c r="AP49" s="9"/>
      <c r="AQ49" s="26"/>
      <c r="AR49" s="26"/>
      <c r="AS49" s="8">
        <v>44804</v>
      </c>
      <c r="AT49" s="26">
        <v>1</v>
      </c>
      <c r="AU49" s="9"/>
      <c r="AV49" s="9"/>
    </row>
    <row r="50" spans="1:48" ht="25.5">
      <c r="A50" s="8">
        <v>44804</v>
      </c>
      <c r="B50" s="9" t="s">
        <v>49</v>
      </c>
      <c r="C50" s="9">
        <v>48</v>
      </c>
      <c r="D50" s="9" t="s">
        <v>51</v>
      </c>
      <c r="E50" s="10"/>
      <c r="F50" s="10">
        <v>-379878.38</v>
      </c>
      <c r="G50" s="8">
        <v>44010</v>
      </c>
      <c r="H50" s="8">
        <v>45090</v>
      </c>
      <c r="I50" s="25" t="s">
        <v>52</v>
      </c>
      <c r="J50" s="26">
        <v>7.1467959999999997E-2</v>
      </c>
      <c r="K50" s="26"/>
      <c r="L50" s="9"/>
      <c r="M50" s="27">
        <v>43629</v>
      </c>
      <c r="N50" s="25" t="s">
        <v>54</v>
      </c>
      <c r="O50" s="28">
        <v>13</v>
      </c>
      <c r="P50" s="9" t="s">
        <v>59</v>
      </c>
      <c r="Q50" s="27">
        <v>43629</v>
      </c>
      <c r="R50" s="25" t="s">
        <v>54</v>
      </c>
      <c r="S50" s="28">
        <v>13</v>
      </c>
      <c r="T50" s="8"/>
      <c r="U50" s="9"/>
      <c r="V50" s="26"/>
      <c r="W50" s="10"/>
      <c r="X50" s="9" t="s">
        <v>118</v>
      </c>
      <c r="Y50" s="9" t="s">
        <v>55</v>
      </c>
      <c r="Z50" s="9"/>
      <c r="AA50" s="9"/>
      <c r="AB50" s="8"/>
      <c r="AC50" s="9"/>
      <c r="AD50" s="9"/>
      <c r="AE50" s="26"/>
      <c r="AF50" s="26"/>
      <c r="AG50" s="9" t="s">
        <v>74</v>
      </c>
      <c r="AH50" s="26">
        <v>7.4999999999999997E-2</v>
      </c>
      <c r="AI50" s="9" t="s">
        <v>75</v>
      </c>
      <c r="AJ50" s="9" t="s">
        <v>77</v>
      </c>
      <c r="AK50" s="26">
        <v>20</v>
      </c>
      <c r="AL50" s="8">
        <v>44010</v>
      </c>
      <c r="AM50" s="8">
        <v>44010</v>
      </c>
      <c r="AN50" s="9" t="s">
        <v>77</v>
      </c>
      <c r="AO50" s="26">
        <v>-1</v>
      </c>
      <c r="AP50" s="9"/>
      <c r="AQ50" s="26"/>
      <c r="AR50" s="26"/>
      <c r="AS50" s="8">
        <v>44804</v>
      </c>
      <c r="AT50" s="26">
        <v>1</v>
      </c>
      <c r="AU50" s="9"/>
      <c r="AV50" s="9"/>
    </row>
    <row r="51" spans="1:48" ht="25.5">
      <c r="A51" s="8">
        <v>44804</v>
      </c>
      <c r="B51" s="9" t="s">
        <v>49</v>
      </c>
      <c r="C51" s="9">
        <v>49</v>
      </c>
      <c r="D51" s="9" t="s">
        <v>51</v>
      </c>
      <c r="E51" s="10"/>
      <c r="F51" s="10">
        <v>379878.38</v>
      </c>
      <c r="G51" s="8">
        <v>44010</v>
      </c>
      <c r="H51" s="8">
        <v>45090</v>
      </c>
      <c r="I51" s="25" t="s">
        <v>52</v>
      </c>
      <c r="J51" s="26">
        <v>7.1467959999999997E-2</v>
      </c>
      <c r="K51" s="26"/>
      <c r="L51" s="9"/>
      <c r="M51" s="27">
        <v>43629</v>
      </c>
      <c r="N51" s="25" t="s">
        <v>54</v>
      </c>
      <c r="O51" s="28">
        <v>13</v>
      </c>
      <c r="P51" s="9" t="s">
        <v>59</v>
      </c>
      <c r="Q51" s="27">
        <v>43629</v>
      </c>
      <c r="R51" s="25" t="s">
        <v>54</v>
      </c>
      <c r="S51" s="28">
        <v>13</v>
      </c>
      <c r="T51" s="8"/>
      <c r="U51" s="9"/>
      <c r="V51" s="26"/>
      <c r="W51" s="10"/>
      <c r="X51" s="9" t="s">
        <v>118</v>
      </c>
      <c r="Y51" s="9" t="s">
        <v>55</v>
      </c>
      <c r="Z51" s="9"/>
      <c r="AA51" s="9"/>
      <c r="AB51" s="8"/>
      <c r="AC51" s="9"/>
      <c r="AD51" s="9"/>
      <c r="AE51" s="26"/>
      <c r="AF51" s="26"/>
      <c r="AG51" s="9" t="s">
        <v>74</v>
      </c>
      <c r="AH51" s="26">
        <v>7.4999999999999997E-2</v>
      </c>
      <c r="AI51" s="9" t="s">
        <v>75</v>
      </c>
      <c r="AJ51" s="9" t="s">
        <v>77</v>
      </c>
      <c r="AK51" s="26">
        <v>20</v>
      </c>
      <c r="AL51" s="8">
        <v>44010</v>
      </c>
      <c r="AM51" s="8">
        <v>44010</v>
      </c>
      <c r="AN51" s="9" t="s">
        <v>77</v>
      </c>
      <c r="AO51" s="26">
        <v>-1</v>
      </c>
      <c r="AP51" s="9"/>
      <c r="AQ51" s="26"/>
      <c r="AR51" s="26"/>
      <c r="AS51" s="8">
        <v>44804</v>
      </c>
      <c r="AT51" s="26">
        <v>1</v>
      </c>
      <c r="AU51" s="9"/>
      <c r="AV51" s="9"/>
    </row>
    <row r="52" spans="1:48" ht="25.5">
      <c r="A52" s="8">
        <v>44804</v>
      </c>
      <c r="B52" s="9" t="s">
        <v>49</v>
      </c>
      <c r="C52" s="9">
        <v>50</v>
      </c>
      <c r="D52" s="9" t="s">
        <v>51</v>
      </c>
      <c r="E52" s="10"/>
      <c r="F52" s="10">
        <v>379878.38</v>
      </c>
      <c r="G52" s="8">
        <v>44740</v>
      </c>
      <c r="H52" s="8">
        <v>45090</v>
      </c>
      <c r="I52" s="25" t="s">
        <v>52</v>
      </c>
      <c r="J52" s="26">
        <v>7.1467959999999997E-2</v>
      </c>
      <c r="K52" s="26"/>
      <c r="L52" s="9"/>
      <c r="M52" s="27">
        <v>44740</v>
      </c>
      <c r="N52" s="25" t="s">
        <v>54</v>
      </c>
      <c r="O52" s="28">
        <v>13</v>
      </c>
      <c r="P52" s="9" t="s">
        <v>59</v>
      </c>
      <c r="Q52" s="27">
        <v>44740</v>
      </c>
      <c r="R52" s="25" t="s">
        <v>54</v>
      </c>
      <c r="S52" s="28">
        <v>13</v>
      </c>
      <c r="T52" s="8"/>
      <c r="U52" s="9"/>
      <c r="V52" s="26"/>
      <c r="W52" s="10"/>
      <c r="X52" s="9" t="s">
        <v>118</v>
      </c>
      <c r="Y52" s="9" t="s">
        <v>55</v>
      </c>
      <c r="Z52" s="9"/>
      <c r="AA52" s="9"/>
      <c r="AB52" s="8"/>
      <c r="AC52" s="9"/>
      <c r="AD52" s="9"/>
      <c r="AE52" s="26"/>
      <c r="AF52" s="26"/>
      <c r="AG52" s="9" t="s">
        <v>74</v>
      </c>
      <c r="AH52" s="26">
        <v>7.4999999999999997E-2</v>
      </c>
      <c r="AI52" s="9" t="s">
        <v>75</v>
      </c>
      <c r="AJ52" s="9" t="s">
        <v>54</v>
      </c>
      <c r="AK52" s="26">
        <v>20</v>
      </c>
      <c r="AL52" s="8">
        <v>44866</v>
      </c>
      <c r="AM52" s="8">
        <v>44740</v>
      </c>
      <c r="AN52" s="9" t="s">
        <v>77</v>
      </c>
      <c r="AO52" s="26">
        <v>-1</v>
      </c>
      <c r="AP52" s="9"/>
      <c r="AQ52" s="26"/>
      <c r="AR52" s="26"/>
      <c r="AS52" s="8">
        <v>44804</v>
      </c>
      <c r="AT52" s="26">
        <v>1</v>
      </c>
      <c r="AU52" s="9"/>
      <c r="AV52" s="9"/>
    </row>
    <row r="53" spans="1:48">
      <c r="A53" s="8">
        <v>44804</v>
      </c>
      <c r="B53" s="9" t="s">
        <v>71</v>
      </c>
      <c r="C53" s="9">
        <v>51</v>
      </c>
      <c r="D53" s="9" t="s">
        <v>51</v>
      </c>
      <c r="E53" s="10"/>
      <c r="F53" s="10">
        <v>1047077.3</v>
      </c>
      <c r="G53" s="8">
        <v>44158</v>
      </c>
      <c r="H53" s="8">
        <v>45046</v>
      </c>
      <c r="I53" s="25" t="s">
        <v>74</v>
      </c>
      <c r="J53" s="26">
        <v>6.0999999999999999E-2</v>
      </c>
      <c r="K53" s="26"/>
      <c r="L53" s="9" t="s">
        <v>75</v>
      </c>
      <c r="M53" s="27">
        <v>44158</v>
      </c>
      <c r="N53" s="25" t="s">
        <v>54</v>
      </c>
      <c r="O53" s="28">
        <v>7</v>
      </c>
      <c r="P53" s="9" t="s">
        <v>59</v>
      </c>
      <c r="Q53" s="27">
        <v>44158</v>
      </c>
      <c r="R53" s="25" t="s">
        <v>54</v>
      </c>
      <c r="S53" s="28">
        <v>7</v>
      </c>
      <c r="T53" s="8">
        <v>44158</v>
      </c>
      <c r="U53" s="9" t="s">
        <v>54</v>
      </c>
      <c r="V53" s="26">
        <v>7</v>
      </c>
      <c r="W53" s="10"/>
      <c r="X53" s="9" t="s">
        <v>23</v>
      </c>
      <c r="Y53" s="9"/>
      <c r="Z53" s="9"/>
      <c r="AA53" s="9"/>
      <c r="AB53" s="8"/>
      <c r="AC53" s="9"/>
      <c r="AD53" s="9"/>
      <c r="AE53" s="26"/>
      <c r="AF53" s="26"/>
      <c r="AG53" s="9" t="s">
        <v>74</v>
      </c>
      <c r="AH53" s="26">
        <v>3.1E-2</v>
      </c>
      <c r="AI53" s="9" t="s">
        <v>75</v>
      </c>
      <c r="AJ53" s="9" t="s">
        <v>54</v>
      </c>
      <c r="AK53" s="26">
        <v>7</v>
      </c>
      <c r="AL53" s="8">
        <v>44158</v>
      </c>
      <c r="AM53" s="8">
        <v>44158</v>
      </c>
      <c r="AN53" s="9" t="s">
        <v>54</v>
      </c>
      <c r="AO53" s="26">
        <v>-1</v>
      </c>
      <c r="AP53" s="9"/>
      <c r="AQ53" s="26"/>
      <c r="AR53" s="26"/>
      <c r="AS53" s="8">
        <v>44804</v>
      </c>
      <c r="AT53" s="26">
        <v>1</v>
      </c>
      <c r="AU53" s="9" t="s">
        <v>136</v>
      </c>
      <c r="AV53" s="9" t="s">
        <v>136</v>
      </c>
    </row>
    <row r="54" spans="1:48">
      <c r="A54" s="8">
        <v>44804</v>
      </c>
      <c r="B54" s="9" t="s">
        <v>71</v>
      </c>
      <c r="C54" s="9">
        <v>52</v>
      </c>
      <c r="D54" s="9" t="s">
        <v>51</v>
      </c>
      <c r="E54" s="10"/>
      <c r="F54" s="10">
        <v>1047077.3</v>
      </c>
      <c r="G54" s="8">
        <v>44158</v>
      </c>
      <c r="H54" s="8">
        <v>45046</v>
      </c>
      <c r="I54" s="25" t="s">
        <v>52</v>
      </c>
      <c r="J54" s="26">
        <v>6.0999999999999999E-2</v>
      </c>
      <c r="K54" s="26">
        <v>0</v>
      </c>
      <c r="L54" s="9"/>
      <c r="M54" s="27">
        <v>44158</v>
      </c>
      <c r="N54" s="25" t="s">
        <v>54</v>
      </c>
      <c r="O54" s="28">
        <v>7</v>
      </c>
      <c r="P54" s="9" t="s">
        <v>59</v>
      </c>
      <c r="Q54" s="27">
        <v>44158</v>
      </c>
      <c r="R54" s="25" t="s">
        <v>54</v>
      </c>
      <c r="S54" s="28">
        <v>7</v>
      </c>
      <c r="T54" s="8"/>
      <c r="U54" s="9"/>
      <c r="V54" s="26"/>
      <c r="W54" s="10"/>
      <c r="X54" s="9" t="s">
        <v>23</v>
      </c>
      <c r="Y54" s="9"/>
      <c r="Z54" s="9"/>
      <c r="AA54" s="9"/>
      <c r="AB54" s="8"/>
      <c r="AC54" s="9"/>
      <c r="AD54" s="9"/>
      <c r="AE54" s="26"/>
      <c r="AF54" s="26"/>
      <c r="AG54" s="9" t="s">
        <v>52</v>
      </c>
      <c r="AH54" s="26">
        <v>3.1E-2</v>
      </c>
      <c r="AI54" s="9"/>
      <c r="AJ54" s="9" t="s">
        <v>54</v>
      </c>
      <c r="AK54" s="26">
        <v>7</v>
      </c>
      <c r="AL54" s="8">
        <v>44158</v>
      </c>
      <c r="AM54" s="8">
        <v>44158</v>
      </c>
      <c r="AN54" s="9" t="s">
        <v>54</v>
      </c>
      <c r="AO54" s="26">
        <v>-1</v>
      </c>
      <c r="AP54" s="9"/>
      <c r="AQ54" s="26"/>
      <c r="AR54" s="26">
        <v>0.9</v>
      </c>
      <c r="AS54" s="8">
        <v>44804</v>
      </c>
      <c r="AT54" s="26">
        <v>1</v>
      </c>
      <c r="AU54" s="9"/>
      <c r="AV54" s="9"/>
    </row>
    <row r="55" spans="1:48">
      <c r="A55" s="8">
        <v>44804</v>
      </c>
      <c r="B55" s="9" t="s">
        <v>71</v>
      </c>
      <c r="C55" s="9">
        <v>53</v>
      </c>
      <c r="D55" s="9" t="s">
        <v>51</v>
      </c>
      <c r="E55" s="10"/>
      <c r="F55" s="10">
        <v>1047077.3</v>
      </c>
      <c r="G55" s="8">
        <v>44158</v>
      </c>
      <c r="H55" s="8">
        <v>45046</v>
      </c>
      <c r="I55" s="25" t="s">
        <v>52</v>
      </c>
      <c r="J55" s="26">
        <v>6.0999999999999999E-2</v>
      </c>
      <c r="K55" s="26">
        <v>0</v>
      </c>
      <c r="L55" s="9"/>
      <c r="M55" s="27">
        <v>44158</v>
      </c>
      <c r="N55" s="25" t="s">
        <v>54</v>
      </c>
      <c r="O55" s="28">
        <v>7</v>
      </c>
      <c r="P55" s="9" t="s">
        <v>59</v>
      </c>
      <c r="Q55" s="27">
        <v>44158</v>
      </c>
      <c r="R55" s="25" t="s">
        <v>54</v>
      </c>
      <c r="S55" s="28">
        <v>7</v>
      </c>
      <c r="T55" s="8"/>
      <c r="U55" s="9"/>
      <c r="V55" s="26"/>
      <c r="W55" s="10"/>
      <c r="X55" s="9" t="s">
        <v>23</v>
      </c>
      <c r="Y55" s="9"/>
      <c r="Z55" s="9"/>
      <c r="AA55" s="9"/>
      <c r="AB55" s="8"/>
      <c r="AC55" s="9"/>
      <c r="AD55" s="9"/>
      <c r="AE55" s="26"/>
      <c r="AF55" s="26"/>
      <c r="AG55" s="9" t="s">
        <v>74</v>
      </c>
      <c r="AH55" s="26">
        <v>3.1E-2</v>
      </c>
      <c r="AI55" s="9" t="s">
        <v>75</v>
      </c>
      <c r="AJ55" s="9" t="s">
        <v>54</v>
      </c>
      <c r="AK55" s="26">
        <v>7</v>
      </c>
      <c r="AL55" s="8">
        <v>44158</v>
      </c>
      <c r="AM55" s="8">
        <v>44158</v>
      </c>
      <c r="AN55" s="9" t="s">
        <v>54</v>
      </c>
      <c r="AO55" s="26">
        <v>-1</v>
      </c>
      <c r="AP55" s="9"/>
      <c r="AQ55" s="26"/>
      <c r="AR55" s="26">
        <v>0.9</v>
      </c>
      <c r="AS55" s="8">
        <v>44804</v>
      </c>
      <c r="AT55" s="26">
        <v>1</v>
      </c>
      <c r="AU55" s="9"/>
      <c r="AV55" s="9"/>
    </row>
    <row r="56" spans="1:48" ht="127.5">
      <c r="A56" s="8">
        <v>44804</v>
      </c>
      <c r="B56" s="9" t="s">
        <v>62</v>
      </c>
      <c r="C56" s="9">
        <v>54</v>
      </c>
      <c r="D56" s="9" t="s">
        <v>51</v>
      </c>
      <c r="E56" s="10">
        <v>9020721.2100000009</v>
      </c>
      <c r="F56" s="10">
        <v>9020721.2100000009</v>
      </c>
      <c r="G56" s="8">
        <v>44105</v>
      </c>
      <c r="H56" s="8">
        <v>47402</v>
      </c>
      <c r="I56" s="25" t="s">
        <v>52</v>
      </c>
      <c r="J56" s="26">
        <v>8.5000000000000006E-2</v>
      </c>
      <c r="K56" s="26">
        <v>0</v>
      </c>
      <c r="L56" s="9"/>
      <c r="M56" s="27"/>
      <c r="N56" s="25"/>
      <c r="O56" s="28"/>
      <c r="P56" s="9" t="s">
        <v>53</v>
      </c>
      <c r="Q56" s="27"/>
      <c r="R56" s="25"/>
      <c r="S56" s="28"/>
      <c r="T56" s="8"/>
      <c r="U56" s="9"/>
      <c r="V56" s="26"/>
      <c r="W56" s="10"/>
      <c r="X56" s="9"/>
      <c r="Y56" s="9"/>
      <c r="Z56" s="9" t="s">
        <v>137</v>
      </c>
      <c r="AA56" s="9" t="s">
        <v>138</v>
      </c>
      <c r="AB56" s="8"/>
      <c r="AC56" s="9"/>
      <c r="AD56" s="9"/>
      <c r="AE56" s="26"/>
      <c r="AF56" s="26"/>
      <c r="AG56" s="9" t="s">
        <v>52</v>
      </c>
      <c r="AH56" s="26">
        <v>3.5000000000000003E-2</v>
      </c>
      <c r="AI56" s="9" t="s">
        <v>75</v>
      </c>
      <c r="AJ56" s="9" t="s">
        <v>54</v>
      </c>
      <c r="AK56" s="26"/>
      <c r="AL56" s="8">
        <v>43840</v>
      </c>
      <c r="AM56" s="8">
        <v>43840</v>
      </c>
      <c r="AN56" s="9" t="s">
        <v>54</v>
      </c>
      <c r="AO56" s="26">
        <v>1</v>
      </c>
      <c r="AP56" s="9"/>
      <c r="AQ56" s="26">
        <v>0</v>
      </c>
      <c r="AR56" s="26">
        <v>0</v>
      </c>
      <c r="AS56" s="8">
        <v>44804</v>
      </c>
      <c r="AT56" s="26">
        <v>1</v>
      </c>
      <c r="AU56" s="9"/>
      <c r="AV56" s="9"/>
    </row>
    <row r="57" spans="1:48" ht="38.25">
      <c r="A57" s="8">
        <v>44804</v>
      </c>
      <c r="B57" s="9" t="s">
        <v>62</v>
      </c>
      <c r="C57" s="9">
        <v>55</v>
      </c>
      <c r="D57" s="9" t="s">
        <v>51</v>
      </c>
      <c r="E57" s="10">
        <v>9020721.2100000009</v>
      </c>
      <c r="F57" s="10">
        <v>9020721.2100000009</v>
      </c>
      <c r="G57" s="8">
        <v>43851</v>
      </c>
      <c r="H57" s="8">
        <v>45842</v>
      </c>
      <c r="I57" s="25" t="s">
        <v>74</v>
      </c>
      <c r="J57" s="26">
        <v>8.5000000000000006E-2</v>
      </c>
      <c r="K57" s="26"/>
      <c r="L57" s="9" t="s">
        <v>75</v>
      </c>
      <c r="M57" s="27"/>
      <c r="N57" s="25"/>
      <c r="O57" s="28"/>
      <c r="P57" s="9" t="s">
        <v>53</v>
      </c>
      <c r="Q57" s="27"/>
      <c r="R57" s="25"/>
      <c r="S57" s="28"/>
      <c r="T57" s="8"/>
      <c r="U57" s="9"/>
      <c r="V57" s="26"/>
      <c r="W57" s="10"/>
      <c r="X57" s="9"/>
      <c r="Y57" s="9"/>
      <c r="Z57" s="9" t="s">
        <v>139</v>
      </c>
      <c r="AA57" s="9" t="s">
        <v>140</v>
      </c>
      <c r="AB57" s="8"/>
      <c r="AC57" s="9"/>
      <c r="AD57" s="9"/>
      <c r="AE57" s="26"/>
      <c r="AF57" s="26"/>
      <c r="AG57" s="9" t="s">
        <v>74</v>
      </c>
      <c r="AH57" s="26">
        <v>3.5000000000000003E-2</v>
      </c>
      <c r="AI57" s="9" t="s">
        <v>75</v>
      </c>
      <c r="AJ57" s="9" t="s">
        <v>54</v>
      </c>
      <c r="AK57" s="26"/>
      <c r="AL57" s="8">
        <v>43851</v>
      </c>
      <c r="AM57" s="8">
        <v>43851</v>
      </c>
      <c r="AN57" s="9" t="s">
        <v>54</v>
      </c>
      <c r="AO57" s="26">
        <v>1</v>
      </c>
      <c r="AP57" s="9"/>
      <c r="AQ57" s="26">
        <v>0</v>
      </c>
      <c r="AR57" s="26">
        <v>0.5</v>
      </c>
      <c r="AS57" s="8">
        <v>44804</v>
      </c>
      <c r="AT57" s="26">
        <v>1</v>
      </c>
      <c r="AU57" s="9"/>
      <c r="AV5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353"/>
  <sheetViews>
    <sheetView tabSelected="1" workbookViewId="0">
      <selection activeCell="D22" sqref="D22"/>
    </sheetView>
  </sheetViews>
  <sheetFormatPr defaultRowHeight="14.25"/>
  <cols>
    <col min="1" max="1" width="37.5" customWidth="1"/>
    <col min="2" max="2" width="12" customWidth="1"/>
    <col min="3" max="4" width="11.5" customWidth="1"/>
    <col min="5" max="5" width="17.375" customWidth="1"/>
    <col min="6" max="6" width="19.75" customWidth="1"/>
    <col min="7" max="8" width="12.75" customWidth="1"/>
    <col min="9" max="9" width="11.875" customWidth="1"/>
    <col min="10" max="10" width="11.75" customWidth="1"/>
    <col min="11" max="11" width="17.75" customWidth="1"/>
    <col min="12" max="12" width="13.375" customWidth="1"/>
    <col min="13" max="13" width="30.25" customWidth="1"/>
    <col min="14" max="14" width="29.75" customWidth="1"/>
    <col min="15" max="15" width="29" customWidth="1"/>
    <col min="16" max="16" width="17.5" customWidth="1"/>
    <col min="17" max="17" width="29.75" customWidth="1"/>
    <col min="18" max="18" width="29.25" customWidth="1"/>
    <col min="19" max="19" width="28.5" customWidth="1"/>
    <col min="20" max="20" width="22.75" customWidth="1"/>
    <col min="21" max="21" width="22.375" customWidth="1"/>
    <col min="22" max="22" width="21.625" customWidth="1"/>
    <col min="23" max="23" width="15.25" customWidth="1"/>
    <col min="24" max="24" width="7.75" customWidth="1"/>
    <col min="25" max="25" width="21.75" customWidth="1"/>
    <col min="26" max="26" width="15.75" customWidth="1"/>
    <col min="27" max="27" width="16.5" customWidth="1"/>
    <col min="28" max="28" width="22.25" customWidth="1"/>
    <col min="29" max="29" width="26.625" customWidth="1"/>
    <col min="30" max="30" width="31.75" customWidth="1"/>
    <col min="31" max="31" width="20.375" customWidth="1"/>
    <col min="32" max="32" width="21.25" customWidth="1"/>
    <col min="33" max="33" width="16.25" customWidth="1"/>
    <col min="34" max="34" width="15.875" customWidth="1"/>
    <col min="35" max="35" width="17.25" customWidth="1"/>
    <col min="36" max="36" width="26.25" customWidth="1"/>
    <col min="37" max="37" width="25.5" customWidth="1"/>
    <col min="38" max="38" width="26.75" customWidth="1"/>
    <col min="39" max="39" width="27.125" customWidth="1"/>
    <col min="40" max="40" width="26.625" customWidth="1"/>
    <col min="41" max="41" width="25.875" customWidth="1"/>
    <col min="42" max="42" width="24.625" customWidth="1"/>
    <col min="43" max="43" width="25.5" customWidth="1"/>
    <col min="44" max="44" width="14.75" customWidth="1"/>
    <col min="45" max="45" width="15.625" customWidth="1"/>
    <col min="46" max="46" width="30.25" customWidth="1"/>
    <col min="47" max="47" width="14.875" customWidth="1"/>
    <col min="48" max="48" width="19.25" customWidth="1"/>
  </cols>
  <sheetData>
    <row r="1" spans="1:49" ht="3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1" t="s">
        <v>8</v>
      </c>
      <c r="J1" s="5" t="s">
        <v>9</v>
      </c>
      <c r="K1" s="5" t="s">
        <v>10</v>
      </c>
      <c r="L1" s="5" t="s">
        <v>11</v>
      </c>
      <c r="M1" s="21" t="s">
        <v>12</v>
      </c>
      <c r="N1" s="21" t="s">
        <v>13</v>
      </c>
      <c r="O1" s="21" t="s">
        <v>14</v>
      </c>
      <c r="P1" s="5" t="s">
        <v>15</v>
      </c>
      <c r="Q1" s="21" t="s">
        <v>16</v>
      </c>
      <c r="R1" s="21" t="s">
        <v>17</v>
      </c>
      <c r="S1" s="21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t="s">
        <v>48</v>
      </c>
    </row>
    <row r="2" spans="1:49" ht="144" customHeight="1">
      <c r="A2" s="6" t="s">
        <v>97</v>
      </c>
      <c r="B2" s="7" t="s">
        <v>98</v>
      </c>
      <c r="C2" s="7" t="s">
        <v>99</v>
      </c>
      <c r="D2" s="6"/>
      <c r="E2" s="7" t="s">
        <v>100</v>
      </c>
      <c r="F2" s="7" t="s">
        <v>101</v>
      </c>
      <c r="G2" s="7" t="s">
        <v>102</v>
      </c>
      <c r="H2" s="7" t="s">
        <v>103</v>
      </c>
      <c r="I2" s="22"/>
      <c r="J2" s="7" t="s">
        <v>104</v>
      </c>
      <c r="K2" s="23"/>
      <c r="L2" s="7" t="s">
        <v>105</v>
      </c>
      <c r="M2" s="24" t="s">
        <v>106</v>
      </c>
      <c r="N2" s="24" t="s">
        <v>107</v>
      </c>
      <c r="O2" s="24" t="s">
        <v>108</v>
      </c>
      <c r="P2" s="7" t="s">
        <v>109</v>
      </c>
      <c r="Q2" s="29" t="s">
        <v>110</v>
      </c>
      <c r="R2" s="29" t="s">
        <v>111</v>
      </c>
      <c r="S2" s="30"/>
      <c r="T2" s="6"/>
      <c r="U2" s="7" t="s">
        <v>112</v>
      </c>
      <c r="V2" s="6"/>
      <c r="W2" s="6"/>
      <c r="X2" s="7" t="s">
        <v>113</v>
      </c>
      <c r="Y2" s="29" t="s">
        <v>114</v>
      </c>
      <c r="Z2" s="7" t="s">
        <v>115</v>
      </c>
      <c r="AA2" s="7" t="s">
        <v>116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</row>
    <row r="3" spans="1:49" ht="21.95" customHeight="1">
      <c r="A3" s="8">
        <v>44804</v>
      </c>
      <c r="B3" s="9" t="s">
        <v>49</v>
      </c>
      <c r="C3" s="9">
        <v>1</v>
      </c>
      <c r="D3" s="9" t="s">
        <v>51</v>
      </c>
      <c r="E3" s="10"/>
      <c r="F3" s="10">
        <v>3646037.89</v>
      </c>
      <c r="G3" s="8">
        <v>44004</v>
      </c>
      <c r="H3" s="8">
        <v>54954</v>
      </c>
      <c r="I3" s="25" t="s">
        <v>52</v>
      </c>
      <c r="J3" s="26">
        <v>7.4999999999999997E-2</v>
      </c>
      <c r="K3" s="26"/>
      <c r="L3" s="9"/>
      <c r="M3" s="27"/>
      <c r="N3" s="25"/>
      <c r="O3" s="28"/>
      <c r="P3" s="9" t="s">
        <v>53</v>
      </c>
      <c r="Q3" s="27">
        <v>44004</v>
      </c>
      <c r="R3" s="25" t="s">
        <v>54</v>
      </c>
      <c r="S3" s="28"/>
      <c r="T3" s="8"/>
      <c r="U3" s="9"/>
      <c r="V3" s="26"/>
      <c r="W3" s="10"/>
      <c r="X3" s="9"/>
      <c r="Y3" s="9" t="s">
        <v>55</v>
      </c>
      <c r="Z3" s="9"/>
      <c r="AA3" s="9"/>
      <c r="AB3" s="8"/>
      <c r="AC3" s="9"/>
      <c r="AD3" s="9"/>
      <c r="AE3" s="26"/>
      <c r="AF3" s="26"/>
      <c r="AG3" s="9"/>
      <c r="AH3" s="26"/>
      <c r="AI3" s="9"/>
      <c r="AJ3" s="9"/>
      <c r="AK3" s="26"/>
      <c r="AL3" s="8"/>
      <c r="AM3" s="8"/>
      <c r="AN3" s="9"/>
      <c r="AO3" s="26"/>
      <c r="AP3" s="9"/>
      <c r="AQ3" s="26"/>
      <c r="AR3" s="26"/>
      <c r="AS3" s="8">
        <v>44804</v>
      </c>
      <c r="AT3" s="26"/>
      <c r="AU3" s="9"/>
      <c r="AV3" s="9"/>
    </row>
    <row r="5" spans="1:49" ht="14.45" customHeight="1">
      <c r="A5" s="11" t="s">
        <v>141</v>
      </c>
      <c r="B5" s="11" t="s">
        <v>142</v>
      </c>
      <c r="C5" s="11" t="s">
        <v>143</v>
      </c>
      <c r="D5" s="11" t="s">
        <v>144</v>
      </c>
      <c r="E5" s="11" t="s">
        <v>145</v>
      </c>
      <c r="F5" s="11" t="s">
        <v>146</v>
      </c>
      <c r="G5" s="11" t="s">
        <v>147</v>
      </c>
      <c r="H5" s="11"/>
      <c r="I5" s="11" t="s">
        <v>148</v>
      </c>
      <c r="J5" s="11" t="s">
        <v>149</v>
      </c>
      <c r="K5" s="11" t="s">
        <v>150</v>
      </c>
      <c r="L5" s="11" t="s">
        <v>151</v>
      </c>
      <c r="M5" s="11" t="s">
        <v>152</v>
      </c>
      <c r="N5" s="11" t="s">
        <v>153</v>
      </c>
      <c r="O5" s="11" t="s">
        <v>154</v>
      </c>
      <c r="P5" s="11" t="s">
        <v>155</v>
      </c>
      <c r="Q5" s="11" t="s">
        <v>156</v>
      </c>
      <c r="R5" s="11" t="s">
        <v>157</v>
      </c>
      <c r="S5" s="11" t="s">
        <v>158</v>
      </c>
      <c r="T5" s="11" t="s">
        <v>159</v>
      </c>
      <c r="U5" s="11" t="s">
        <v>160</v>
      </c>
      <c r="V5" s="12"/>
    </row>
    <row r="6" spans="1:49" ht="14.45" customHeight="1">
      <c r="A6" s="11" t="s">
        <v>161</v>
      </c>
      <c r="B6" s="11">
        <v>2.8E-3</v>
      </c>
      <c r="C6" s="11">
        <v>4.1700000000000001E-2</v>
      </c>
      <c r="D6" s="11">
        <v>0.16669999999999999</v>
      </c>
      <c r="E6" s="11">
        <v>0.375</v>
      </c>
      <c r="F6" s="11">
        <v>0.625</v>
      </c>
      <c r="G6" s="11">
        <v>0.875</v>
      </c>
      <c r="H6" s="11"/>
      <c r="I6" s="11">
        <v>1.25</v>
      </c>
      <c r="J6" s="11">
        <v>1.75</v>
      </c>
      <c r="K6" s="11">
        <v>2.5</v>
      </c>
      <c r="L6" s="11">
        <v>3.5</v>
      </c>
      <c r="M6" s="11">
        <v>4.5</v>
      </c>
      <c r="N6" s="11">
        <v>5.5</v>
      </c>
      <c r="O6" s="11">
        <v>6.5</v>
      </c>
      <c r="P6" s="11">
        <v>7.5</v>
      </c>
      <c r="Q6" s="11">
        <v>8.5</v>
      </c>
      <c r="R6" s="11">
        <v>9.5</v>
      </c>
      <c r="S6" s="11">
        <v>12.5</v>
      </c>
      <c r="T6" s="11">
        <v>17.5</v>
      </c>
      <c r="U6" s="11">
        <v>25</v>
      </c>
      <c r="V6" s="12"/>
    </row>
    <row r="7" spans="1:49" ht="14.4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49" ht="14.4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49" ht="43.15" customHeight="1">
      <c r="A9" s="13" t="s">
        <v>162</v>
      </c>
      <c r="B9" s="14">
        <v>0.99965116919858799</v>
      </c>
      <c r="C9" s="14">
        <v>0.99481748221811395</v>
      </c>
      <c r="D9" s="14">
        <v>0.97944272794689202</v>
      </c>
      <c r="E9" s="14">
        <v>0.95425354894784697</v>
      </c>
      <c r="F9" s="14">
        <v>0.92421095881142701</v>
      </c>
      <c r="G9" s="14">
        <v>0.89421843544927704</v>
      </c>
      <c r="H9" s="14"/>
      <c r="I9" s="14">
        <v>0.84855205430333203</v>
      </c>
      <c r="J9" s="14">
        <v>0.78962766423471797</v>
      </c>
      <c r="K9" s="14">
        <v>0.70449484144570695</v>
      </c>
      <c r="L9" s="14">
        <v>0.60665028225817696</v>
      </c>
      <c r="M9" s="14">
        <v>0.51960779086119302</v>
      </c>
      <c r="N9" s="14">
        <v>0.44374038051779902</v>
      </c>
      <c r="O9" s="14">
        <v>0.38279880997049598</v>
      </c>
      <c r="P9" s="14">
        <v>0.329799717833274</v>
      </c>
      <c r="Q9" s="14">
        <v>0.28404048346848998</v>
      </c>
      <c r="R9" s="14">
        <v>0.24334737102727899</v>
      </c>
      <c r="S9" s="14">
        <v>0.154239168224516</v>
      </c>
      <c r="T9" s="14">
        <v>7.2259135106632996E-2</v>
      </c>
      <c r="U9" s="14">
        <v>2.27391126637785E-2</v>
      </c>
      <c r="V9" s="12"/>
    </row>
    <row r="10" spans="1:49" ht="14.45" customHeight="1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2"/>
    </row>
    <row r="11" spans="1:49" ht="43.15" customHeight="1">
      <c r="A11" s="13" t="s">
        <v>163</v>
      </c>
      <c r="B11" s="14">
        <v>0.99973255226262503</v>
      </c>
      <c r="C11" s="14">
        <v>0.99600261369557996</v>
      </c>
      <c r="D11" s="14">
        <v>0.98384580178749304</v>
      </c>
      <c r="E11" s="14">
        <v>0.96298085377139198</v>
      </c>
      <c r="F11" s="14">
        <v>0.93658931466857598</v>
      </c>
      <c r="G11" s="14">
        <v>0.908798057795275</v>
      </c>
      <c r="H11" s="14"/>
      <c r="I11" s="14">
        <v>0.86418246054075598</v>
      </c>
      <c r="J11" s="14">
        <v>0.80360267044268396</v>
      </c>
      <c r="K11" s="14">
        <v>0.71197219361800701</v>
      </c>
      <c r="L11" s="14">
        <v>0.60262400985720199</v>
      </c>
      <c r="M11" s="14">
        <v>0.50435484565805699</v>
      </c>
      <c r="N11" s="14">
        <v>0.41939070199471001</v>
      </c>
      <c r="O11" s="14">
        <v>0.35155591316055501</v>
      </c>
      <c r="P11" s="14">
        <v>0.294045500109817</v>
      </c>
      <c r="Q11" s="14">
        <v>0.24580293414785001</v>
      </c>
      <c r="R11" s="14">
        <v>0.204457475177524</v>
      </c>
      <c r="S11" s="14">
        <v>0.11895425569118399</v>
      </c>
      <c r="T11" s="14">
        <v>4.8877239144195103E-2</v>
      </c>
      <c r="U11" s="14">
        <v>1.2844722476726101E-2</v>
      </c>
      <c r="V11" s="12"/>
    </row>
    <row r="12" spans="1:49" ht="14.45" customHeigh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4" spans="1:49">
      <c r="A14" t="s">
        <v>164</v>
      </c>
      <c r="B14" s="18">
        <f>IF($J$3=0,$F$3/$B$15,$F$3*($J$3*0.0833333333333333)/(1-(1+$J$3*0.0833333333333333)^(-$B$15)))</f>
        <v>26037.32199991525</v>
      </c>
    </row>
    <row r="15" spans="1:49">
      <c r="A15" t="s">
        <v>165</v>
      </c>
      <c r="B15">
        <v>334</v>
      </c>
    </row>
    <row r="17" spans="1:14">
      <c r="B17" s="35">
        <v>44795</v>
      </c>
      <c r="F17" s="38">
        <f>F3*J3/12*(1+J3/12)^334/((1+J3/12)^334-1)</f>
        <v>26037.321999915264</v>
      </c>
      <c r="G17">
        <f>F3*J3/12</f>
        <v>22787.736812500003</v>
      </c>
      <c r="H17">
        <f>F3*J3*(31/365)</f>
        <v>23224.761902054797</v>
      </c>
    </row>
    <row r="18" spans="1:14" ht="82.9" customHeight="1">
      <c r="B18" s="19" t="s">
        <v>166</v>
      </c>
      <c r="C18" t="s">
        <v>167</v>
      </c>
      <c r="D18" s="19" t="s">
        <v>168</v>
      </c>
      <c r="E18" s="19" t="s">
        <v>169</v>
      </c>
      <c r="F18" s="19" t="s">
        <v>170</v>
      </c>
      <c r="G18" s="19" t="s">
        <v>171</v>
      </c>
      <c r="H18" s="20" t="s">
        <v>172</v>
      </c>
      <c r="I18" s="19" t="s">
        <v>173</v>
      </c>
      <c r="J18" s="19" t="s">
        <v>174</v>
      </c>
      <c r="K18" s="19" t="s">
        <v>175</v>
      </c>
      <c r="L18" s="19" t="s">
        <v>176</v>
      </c>
      <c r="M18" s="19" t="s">
        <v>177</v>
      </c>
      <c r="N18" s="19" t="s">
        <v>178</v>
      </c>
    </row>
    <row r="19" spans="1:14">
      <c r="A19" s="34" t="s">
        <v>179</v>
      </c>
      <c r="B19" s="35">
        <v>44826</v>
      </c>
      <c r="C19" s="36"/>
      <c r="D19" s="36">
        <f>$B$14-F19</f>
        <v>2812.5600978604525</v>
      </c>
      <c r="E19" s="36">
        <f>$F$3-D19</f>
        <v>3643225.3299021395</v>
      </c>
      <c r="F19" s="36">
        <f>$F$3*$J$3*((B19-B17)/365)</f>
        <v>23224.761902054797</v>
      </c>
      <c r="G19" s="36">
        <f t="shared" ref="G19:G82" si="0">SUM(D19,F19)</f>
        <v>26037.32199991525</v>
      </c>
      <c r="H19" s="37">
        <f t="shared" ref="H19:H82" si="1">B19-$A$3</f>
        <v>22</v>
      </c>
      <c r="I19" s="34" t="str">
        <f>$C$5</f>
        <v>1m</v>
      </c>
      <c r="J19" s="36">
        <f>G19*$C$9</f>
        <v>25902.383115657994</v>
      </c>
      <c r="K19" s="36"/>
      <c r="L19" s="36">
        <f>G19*$C$11</f>
        <v>25933.240765549013</v>
      </c>
      <c r="M19" s="36"/>
      <c r="N19" s="36"/>
    </row>
    <row r="20" spans="1:14">
      <c r="A20" s="34" t="s">
        <v>179</v>
      </c>
      <c r="B20" s="35">
        <v>44856</v>
      </c>
      <c r="C20" s="36"/>
      <c r="D20" s="36">
        <f t="shared" ref="D20:D83" si="2">$B$14-F20</f>
        <v>3579.0836649020639</v>
      </c>
      <c r="E20" s="36">
        <f t="shared" ref="E20:E83" si="3">E19-D20</f>
        <v>3639646.2462372375</v>
      </c>
      <c r="F20" s="36">
        <f>E19*$J$3*((B20-B19)/365)</f>
        <v>22458.238335013186</v>
      </c>
      <c r="G20" s="36">
        <f t="shared" si="0"/>
        <v>26037.32199991525</v>
      </c>
      <c r="H20" s="37">
        <f t="shared" si="1"/>
        <v>52</v>
      </c>
      <c r="I20" s="34" t="str">
        <f>$D$5</f>
        <v>3m</v>
      </c>
      <c r="J20" s="36">
        <f>G20*$D$9</f>
        <v>25502.065688028619</v>
      </c>
      <c r="K20" s="36"/>
      <c r="L20" s="36">
        <f>G20*$D$11</f>
        <v>25616.709939405751</v>
      </c>
      <c r="M20" s="36"/>
      <c r="N20" s="36"/>
    </row>
    <row r="21" spans="1:14">
      <c r="A21" s="34" t="s">
        <v>179</v>
      </c>
      <c r="B21" s="35">
        <v>44887</v>
      </c>
      <c r="C21" s="36"/>
      <c r="D21" s="36">
        <f t="shared" si="2"/>
        <v>2853.2739930616153</v>
      </c>
      <c r="E21" s="36">
        <f t="shared" si="3"/>
        <v>3636792.9722441761</v>
      </c>
      <c r="F21" s="36">
        <f t="shared" ref="F21:F84" si="4">E20*$J$3*((B21-B20)/365)</f>
        <v>23184.048006853634</v>
      </c>
      <c r="G21" s="36">
        <f t="shared" si="0"/>
        <v>26037.32199991525</v>
      </c>
      <c r="H21" s="37">
        <f t="shared" si="1"/>
        <v>83</v>
      </c>
      <c r="I21" s="34" t="str">
        <f>$D$5</f>
        <v>3m</v>
      </c>
      <c r="J21" s="36">
        <f>G21*$D$9</f>
        <v>25502.065688028619</v>
      </c>
      <c r="K21" s="36"/>
      <c r="L21" s="36">
        <f>G21*$D$11</f>
        <v>25616.709939405751</v>
      </c>
      <c r="M21" s="36"/>
      <c r="N21" s="36"/>
    </row>
    <row r="22" spans="1:14">
      <c r="A22" s="34" t="s">
        <v>179</v>
      </c>
      <c r="B22" s="35">
        <v>44917</v>
      </c>
      <c r="C22" s="36"/>
      <c r="D22" s="36">
        <f t="shared" si="2"/>
        <v>3618.7351847114296</v>
      </c>
      <c r="E22" s="36">
        <f t="shared" si="3"/>
        <v>3633174.2370594647</v>
      </c>
      <c r="F22" s="36">
        <f t="shared" si="4"/>
        <v>22418.58681520382</v>
      </c>
      <c r="G22" s="36">
        <f t="shared" si="0"/>
        <v>26037.32199991525</v>
      </c>
      <c r="H22" s="37">
        <f t="shared" si="1"/>
        <v>113</v>
      </c>
      <c r="I22" s="34" t="str">
        <f>$E$5</f>
        <v>6m</v>
      </c>
      <c r="J22" s="36">
        <f>G22*$E$9</f>
        <v>24846.20692351698</v>
      </c>
      <c r="K22" s="36"/>
      <c r="L22" s="36">
        <f>G22*$E$11</f>
        <v>25073.442569399034</v>
      </c>
      <c r="M22" s="36"/>
      <c r="N22" s="36"/>
    </row>
    <row r="23" spans="1:14">
      <c r="A23" s="34" t="s">
        <v>179</v>
      </c>
      <c r="B23" s="35">
        <v>44948</v>
      </c>
      <c r="C23" s="36"/>
      <c r="D23" s="36">
        <f t="shared" si="2"/>
        <v>2894.4998049474307</v>
      </c>
      <c r="E23" s="36">
        <f t="shared" si="3"/>
        <v>3630279.7372545172</v>
      </c>
      <c r="F23" s="36">
        <f t="shared" si="4"/>
        <v>23142.822194967819</v>
      </c>
      <c r="G23" s="36">
        <f t="shared" si="0"/>
        <v>26037.32199991525</v>
      </c>
      <c r="H23" s="37">
        <f t="shared" si="1"/>
        <v>144</v>
      </c>
      <c r="I23" s="34" t="str">
        <f>$E$5</f>
        <v>6m</v>
      </c>
      <c r="J23" s="36">
        <f>G23*$E$9</f>
        <v>24846.20692351698</v>
      </c>
      <c r="K23" s="36"/>
      <c r="L23" s="36">
        <f>G23*$E$11</f>
        <v>25073.442569399034</v>
      </c>
      <c r="M23" s="36"/>
      <c r="N23" s="36"/>
    </row>
    <row r="24" spans="1:14">
      <c r="A24" s="34" t="s">
        <v>179</v>
      </c>
      <c r="B24" s="35">
        <v>44979</v>
      </c>
      <c r="C24" s="36"/>
      <c r="D24" s="36">
        <f t="shared" si="2"/>
        <v>2912.937372198121</v>
      </c>
      <c r="E24" s="36">
        <f t="shared" si="3"/>
        <v>3627366.7998823188</v>
      </c>
      <c r="F24" s="36">
        <f t="shared" si="4"/>
        <v>23124.384627717129</v>
      </c>
      <c r="G24" s="36">
        <f t="shared" si="0"/>
        <v>26037.32199991525</v>
      </c>
      <c r="H24" s="37">
        <f t="shared" si="1"/>
        <v>175</v>
      </c>
      <c r="I24" s="34" t="str">
        <f>$E$5</f>
        <v>6m</v>
      </c>
      <c r="J24" s="36">
        <f>G24*$E$9</f>
        <v>24846.20692351698</v>
      </c>
      <c r="K24" s="36"/>
      <c r="L24" s="36">
        <f>G24*$E$11</f>
        <v>25073.442569399034</v>
      </c>
      <c r="M24" s="36"/>
      <c r="N24" s="36"/>
    </row>
    <row r="25" spans="1:14">
      <c r="A25" s="34" t="s">
        <v>179</v>
      </c>
      <c r="B25" s="35">
        <v>45007</v>
      </c>
      <c r="C25" s="36"/>
      <c r="D25" s="36">
        <f t="shared" si="2"/>
        <v>5167.540411551221</v>
      </c>
      <c r="E25" s="36">
        <f t="shared" si="3"/>
        <v>3622199.2594707678</v>
      </c>
      <c r="F25" s="36">
        <f t="shared" si="4"/>
        <v>20869.781588364029</v>
      </c>
      <c r="G25" s="36">
        <f t="shared" si="0"/>
        <v>26037.32199991525</v>
      </c>
      <c r="H25" s="37">
        <f t="shared" si="1"/>
        <v>203</v>
      </c>
      <c r="I25" s="34" t="str">
        <f>$F$5</f>
        <v>9m</v>
      </c>
      <c r="J25" s="36">
        <f>G25*$F$9</f>
        <v>24063.978330423535</v>
      </c>
      <c r="K25" s="36"/>
      <c r="L25" s="36">
        <f>G25*$F$11</f>
        <v>24386.27756770566</v>
      </c>
      <c r="M25" s="36"/>
      <c r="N25" s="36"/>
    </row>
    <row r="26" spans="1:14">
      <c r="A26" s="34" t="s">
        <v>179</v>
      </c>
      <c r="B26" s="35">
        <v>45038</v>
      </c>
      <c r="C26" s="36"/>
      <c r="D26" s="36">
        <f t="shared" si="2"/>
        <v>2964.4089087658394</v>
      </c>
      <c r="E26" s="36">
        <f t="shared" si="3"/>
        <v>3619234.850562002</v>
      </c>
      <c r="F26" s="36">
        <f t="shared" si="4"/>
        <v>23072.91309114941</v>
      </c>
      <c r="G26" s="36">
        <f t="shared" si="0"/>
        <v>26037.32199991525</v>
      </c>
      <c r="H26" s="37">
        <f t="shared" si="1"/>
        <v>234</v>
      </c>
      <c r="I26" s="34" t="str">
        <f>$F$5</f>
        <v>9m</v>
      </c>
      <c r="J26" s="36">
        <f>G26*$F$9</f>
        <v>24063.978330423535</v>
      </c>
      <c r="K26" s="36"/>
      <c r="L26" s="36">
        <f>G26*$F$11</f>
        <v>24386.27756770566</v>
      </c>
      <c r="M26" s="36"/>
      <c r="N26" s="36"/>
    </row>
    <row r="27" spans="1:14">
      <c r="A27" s="34" t="s">
        <v>179</v>
      </c>
      <c r="B27" s="35">
        <v>45068</v>
      </c>
      <c r="C27" s="36"/>
      <c r="D27" s="36">
        <f t="shared" si="2"/>
        <v>3726.9701813823594</v>
      </c>
      <c r="E27" s="36">
        <f t="shared" si="3"/>
        <v>3615507.8803806198</v>
      </c>
      <c r="F27" s="36">
        <f t="shared" si="4"/>
        <v>22310.35181853289</v>
      </c>
      <c r="G27" s="36">
        <f t="shared" si="0"/>
        <v>26037.32199991525</v>
      </c>
      <c r="H27" s="37">
        <f t="shared" si="1"/>
        <v>264</v>
      </c>
      <c r="I27" s="34" t="str">
        <f>$F$5</f>
        <v>9m</v>
      </c>
      <c r="J27" s="36">
        <f>G27*$F$9</f>
        <v>24063.978330423535</v>
      </c>
      <c r="K27" s="36"/>
      <c r="L27" s="36">
        <f>G27*$F$11</f>
        <v>24386.27756770566</v>
      </c>
      <c r="M27" s="36"/>
      <c r="N27" s="36"/>
    </row>
    <row r="28" spans="1:14">
      <c r="A28" s="34" t="s">
        <v>179</v>
      </c>
      <c r="B28" s="35">
        <v>45099</v>
      </c>
      <c r="C28" s="36"/>
      <c r="D28" s="36">
        <f t="shared" si="2"/>
        <v>3007.0320769428108</v>
      </c>
      <c r="E28" s="36">
        <f t="shared" si="3"/>
        <v>3612500.848303677</v>
      </c>
      <c r="F28" s="36">
        <f t="shared" si="4"/>
        <v>23030.289922972439</v>
      </c>
      <c r="G28" s="36">
        <f t="shared" si="0"/>
        <v>26037.32199991525</v>
      </c>
      <c r="H28" s="37">
        <f t="shared" si="1"/>
        <v>295</v>
      </c>
      <c r="I28" s="34" t="str">
        <f>$G$5</f>
        <v>1y</v>
      </c>
      <c r="J28" s="36">
        <f>G28*$G$9</f>
        <v>23283.053342053256</v>
      </c>
      <c r="K28" s="36"/>
      <c r="L28" s="36">
        <f>G28*$G$11</f>
        <v>23662.667663713164</v>
      </c>
      <c r="M28" s="36"/>
      <c r="N28" s="36"/>
    </row>
    <row r="29" spans="1:14">
      <c r="A29" s="34" t="s">
        <v>179</v>
      </c>
      <c r="B29" s="35">
        <v>45129</v>
      </c>
      <c r="C29" s="36"/>
      <c r="D29" s="36">
        <f t="shared" si="2"/>
        <v>3768.4811542076532</v>
      </c>
      <c r="E29" s="36">
        <f t="shared" si="3"/>
        <v>3608732.3671494694</v>
      </c>
      <c r="F29" s="36">
        <f t="shared" si="4"/>
        <v>22268.840845707597</v>
      </c>
      <c r="G29" s="36">
        <f t="shared" si="0"/>
        <v>26037.32199991525</v>
      </c>
      <c r="H29" s="37">
        <f t="shared" si="1"/>
        <v>325</v>
      </c>
      <c r="I29" s="34" t="str">
        <f>$G$5</f>
        <v>1y</v>
      </c>
      <c r="J29" s="36">
        <f>G29*$G$9</f>
        <v>23283.053342053256</v>
      </c>
      <c r="K29" s="36"/>
      <c r="L29" s="36">
        <f>G29*$G$11</f>
        <v>23662.667663713164</v>
      </c>
      <c r="M29" s="36"/>
      <c r="N29" s="36"/>
    </row>
    <row r="30" spans="1:14">
      <c r="A30" s="34" t="s">
        <v>179</v>
      </c>
      <c r="B30" s="35">
        <v>45160</v>
      </c>
      <c r="C30" s="36"/>
      <c r="D30" s="36">
        <f t="shared" si="2"/>
        <v>3050.1911680727389</v>
      </c>
      <c r="E30" s="36">
        <f t="shared" si="3"/>
        <v>3605682.1759813968</v>
      </c>
      <c r="F30" s="36">
        <f t="shared" si="4"/>
        <v>22987.130831842511</v>
      </c>
      <c r="G30" s="36">
        <f t="shared" si="0"/>
        <v>26037.32199991525</v>
      </c>
      <c r="H30" s="37">
        <f t="shared" si="1"/>
        <v>356</v>
      </c>
      <c r="I30" s="34" t="str">
        <f>$G$5</f>
        <v>1y</v>
      </c>
      <c r="J30" s="36">
        <f>G30*$G$9</f>
        <v>23283.053342053256</v>
      </c>
      <c r="K30" s="36"/>
      <c r="L30" s="36">
        <f>G30*$G$11</f>
        <v>23662.667663713164</v>
      </c>
      <c r="M30" s="36"/>
      <c r="N30" s="36"/>
    </row>
    <row r="31" spans="1:14">
      <c r="A31" s="34" t="s">
        <v>179</v>
      </c>
      <c r="B31" s="35">
        <v>45191</v>
      </c>
      <c r="C31" s="36"/>
      <c r="D31" s="36">
        <f t="shared" si="2"/>
        <v>3069.6204679789553</v>
      </c>
      <c r="E31" s="36">
        <f t="shared" si="3"/>
        <v>3602612.5555134178</v>
      </c>
      <c r="F31" s="36">
        <f t="shared" si="4"/>
        <v>22967.701531936294</v>
      </c>
      <c r="G31" s="36">
        <f t="shared" si="0"/>
        <v>26037.32199991525</v>
      </c>
      <c r="H31" s="37">
        <f t="shared" si="1"/>
        <v>387</v>
      </c>
      <c r="I31" s="34" t="str">
        <f t="shared" ref="I31:I36" si="5">$I$5</f>
        <v>1.5y</v>
      </c>
      <c r="J31" s="36">
        <f t="shared" ref="J31:J36" si="6">G31*$I$9</f>
        <v>22094.023071585427</v>
      </c>
      <c r="K31" s="36"/>
      <c r="L31" s="36">
        <f t="shared" ref="L31:L36" si="7">G31*$I$11</f>
        <v>22500.996991778717</v>
      </c>
      <c r="M31" s="36"/>
      <c r="N31" s="36"/>
    </row>
    <row r="32" spans="1:14">
      <c r="A32" s="34" t="s">
        <v>179</v>
      </c>
      <c r="B32" s="35">
        <v>45221</v>
      </c>
      <c r="C32" s="36"/>
      <c r="D32" s="36">
        <f t="shared" si="2"/>
        <v>3829.4363837366473</v>
      </c>
      <c r="E32" s="36">
        <f t="shared" si="3"/>
        <v>3598783.119129681</v>
      </c>
      <c r="F32" s="36">
        <f t="shared" si="4"/>
        <v>22207.885616178603</v>
      </c>
      <c r="G32" s="36">
        <f t="shared" si="0"/>
        <v>26037.32199991525</v>
      </c>
      <c r="H32" s="37">
        <f t="shared" si="1"/>
        <v>417</v>
      </c>
      <c r="I32" s="34" t="str">
        <f t="shared" si="5"/>
        <v>1.5y</v>
      </c>
      <c r="J32" s="36">
        <f t="shared" si="6"/>
        <v>22094.023071585427</v>
      </c>
      <c r="K32" s="36"/>
      <c r="L32" s="36">
        <f t="shared" si="7"/>
        <v>22500.996991778717</v>
      </c>
      <c r="M32" s="36"/>
      <c r="N32" s="36"/>
    </row>
    <row r="33" spans="1:14">
      <c r="A33" s="34" t="s">
        <v>179</v>
      </c>
      <c r="B33" s="35">
        <v>45252</v>
      </c>
      <c r="C33" s="36"/>
      <c r="D33" s="36">
        <f t="shared" si="2"/>
        <v>3113.5665150481072</v>
      </c>
      <c r="E33" s="36">
        <f t="shared" si="3"/>
        <v>3595669.552614633</v>
      </c>
      <c r="F33" s="36">
        <f t="shared" si="4"/>
        <v>22923.755484867143</v>
      </c>
      <c r="G33" s="36">
        <f t="shared" si="0"/>
        <v>26037.32199991525</v>
      </c>
      <c r="H33" s="37">
        <f t="shared" si="1"/>
        <v>448</v>
      </c>
      <c r="I33" s="34" t="str">
        <f t="shared" si="5"/>
        <v>1.5y</v>
      </c>
      <c r="J33" s="36">
        <f t="shared" si="6"/>
        <v>22094.023071585427</v>
      </c>
      <c r="K33" s="36"/>
      <c r="L33" s="36">
        <f t="shared" si="7"/>
        <v>22500.996991778717</v>
      </c>
      <c r="M33" s="36"/>
      <c r="N33" s="36"/>
    </row>
    <row r="34" spans="1:14">
      <c r="A34" s="34" t="s">
        <v>179</v>
      </c>
      <c r="B34" s="35">
        <v>45282</v>
      </c>
      <c r="C34" s="36"/>
      <c r="D34" s="36">
        <f t="shared" si="2"/>
        <v>3872.2357166743641</v>
      </c>
      <c r="E34" s="36">
        <f t="shared" si="3"/>
        <v>3591797.3168979585</v>
      </c>
      <c r="F34" s="36">
        <f t="shared" si="4"/>
        <v>22165.086283240886</v>
      </c>
      <c r="G34" s="36">
        <f t="shared" si="0"/>
        <v>26037.32199991525</v>
      </c>
      <c r="H34" s="37">
        <f t="shared" si="1"/>
        <v>478</v>
      </c>
      <c r="I34" s="34" t="str">
        <f t="shared" si="5"/>
        <v>1.5y</v>
      </c>
      <c r="J34" s="36">
        <f t="shared" si="6"/>
        <v>22094.023071585427</v>
      </c>
      <c r="K34" s="36"/>
      <c r="L34" s="36">
        <f t="shared" si="7"/>
        <v>22500.996991778717</v>
      </c>
      <c r="M34" s="36"/>
      <c r="N34" s="36"/>
    </row>
    <row r="35" spans="1:14" s="43" customFormat="1">
      <c r="A35" s="39" t="s">
        <v>179</v>
      </c>
      <c r="B35" s="40">
        <v>45313</v>
      </c>
      <c r="C35" s="41"/>
      <c r="D35" s="41">
        <f t="shared" si="2"/>
        <v>3158.0651183049667</v>
      </c>
      <c r="E35" s="41">
        <f t="shared" si="3"/>
        <v>3588639.2517796536</v>
      </c>
      <c r="F35" s="41">
        <f>E34*$J$3*((B35-B34)/365)</f>
        <v>22879.256881610283</v>
      </c>
      <c r="G35" s="41">
        <f t="shared" si="0"/>
        <v>26037.32199991525</v>
      </c>
      <c r="H35" s="42">
        <f t="shared" si="1"/>
        <v>509</v>
      </c>
      <c r="I35" s="39" t="str">
        <f t="shared" si="5"/>
        <v>1.5y</v>
      </c>
      <c r="J35" s="41">
        <f t="shared" si="6"/>
        <v>22094.023071585427</v>
      </c>
      <c r="K35" s="41"/>
      <c r="L35" s="41">
        <f t="shared" si="7"/>
        <v>22500.996991778717</v>
      </c>
      <c r="M35" s="41"/>
      <c r="N35" s="41"/>
    </row>
    <row r="36" spans="1:14">
      <c r="A36" s="34" t="s">
        <v>179</v>
      </c>
      <c r="B36" s="35">
        <v>45344</v>
      </c>
      <c r="C36" s="36"/>
      <c r="D36" s="36">
        <f t="shared" si="2"/>
        <v>3178.1815604969124</v>
      </c>
      <c r="E36" s="36">
        <f t="shared" si="3"/>
        <v>3585461.0702191568</v>
      </c>
      <c r="F36" s="36">
        <f t="shared" si="4"/>
        <v>22859.140439418337</v>
      </c>
      <c r="G36" s="36">
        <f t="shared" si="0"/>
        <v>26037.32199991525</v>
      </c>
      <c r="H36" s="37">
        <f t="shared" si="1"/>
        <v>540</v>
      </c>
      <c r="I36" s="34" t="str">
        <f t="shared" si="5"/>
        <v>1.5y</v>
      </c>
      <c r="J36" s="36">
        <f t="shared" si="6"/>
        <v>22094.023071585427</v>
      </c>
      <c r="K36" s="36"/>
      <c r="L36" s="36">
        <f t="shared" si="7"/>
        <v>22500.996991778717</v>
      </c>
      <c r="M36" s="36"/>
      <c r="N36" s="36"/>
    </row>
    <row r="37" spans="1:14">
      <c r="A37" s="34" t="s">
        <v>179</v>
      </c>
      <c r="B37" s="35">
        <v>45373</v>
      </c>
      <c r="C37" s="36"/>
      <c r="D37" s="36">
        <f t="shared" si="2"/>
        <v>4671.9032938147939</v>
      </c>
      <c r="E37" s="36">
        <f t="shared" si="3"/>
        <v>3580789.1669253418</v>
      </c>
      <c r="F37" s="36">
        <f t="shared" si="4"/>
        <v>21365.418706100456</v>
      </c>
      <c r="G37" s="36">
        <f t="shared" si="0"/>
        <v>26037.32199991525</v>
      </c>
      <c r="H37" s="37">
        <f t="shared" si="1"/>
        <v>569</v>
      </c>
      <c r="I37" s="34" t="str">
        <f t="shared" ref="I37:I42" si="8">$J$5</f>
        <v>2y</v>
      </c>
      <c r="J37" s="36">
        <f t="shared" ref="J37:J42" si="9">G37*$J$9</f>
        <v>20559.789753720313</v>
      </c>
      <c r="K37" s="36"/>
      <c r="L37" s="36">
        <f t="shared" ref="L37:L42" si="10">G37*$J$11</f>
        <v>20923.661490307939</v>
      </c>
      <c r="M37" s="36"/>
      <c r="N37" s="36"/>
    </row>
    <row r="38" spans="1:14">
      <c r="A38" s="34" t="s">
        <v>179</v>
      </c>
      <c r="B38" s="35">
        <v>45404</v>
      </c>
      <c r="C38" s="36"/>
      <c r="D38" s="36">
        <f t="shared" si="2"/>
        <v>3228.1855256647868</v>
      </c>
      <c r="E38" s="36">
        <f t="shared" si="3"/>
        <v>3577560.9813996772</v>
      </c>
      <c r="F38" s="36">
        <f t="shared" si="4"/>
        <v>22809.136474250463</v>
      </c>
      <c r="G38" s="36">
        <f t="shared" si="0"/>
        <v>26037.32199991525</v>
      </c>
      <c r="H38" s="37">
        <f t="shared" si="1"/>
        <v>600</v>
      </c>
      <c r="I38" s="34" t="str">
        <f t="shared" si="8"/>
        <v>2y</v>
      </c>
      <c r="J38" s="36">
        <f t="shared" si="9"/>
        <v>20559.789753720313</v>
      </c>
      <c r="K38" s="36"/>
      <c r="L38" s="36">
        <f t="shared" si="10"/>
        <v>20923.661490307939</v>
      </c>
      <c r="M38" s="36"/>
      <c r="N38" s="36"/>
    </row>
    <row r="39" spans="1:14">
      <c r="A39" s="34" t="s">
        <v>179</v>
      </c>
      <c r="B39" s="35">
        <v>45434</v>
      </c>
      <c r="C39" s="36"/>
      <c r="D39" s="36">
        <f t="shared" si="2"/>
        <v>3983.8638953966947</v>
      </c>
      <c r="E39" s="36">
        <f t="shared" si="3"/>
        <v>3573577.1175042805</v>
      </c>
      <c r="F39" s="36">
        <f t="shared" si="4"/>
        <v>22053.458104518555</v>
      </c>
      <c r="G39" s="36">
        <f t="shared" si="0"/>
        <v>26037.32199991525</v>
      </c>
      <c r="H39" s="37">
        <f t="shared" si="1"/>
        <v>630</v>
      </c>
      <c r="I39" s="34" t="str">
        <f t="shared" si="8"/>
        <v>2y</v>
      </c>
      <c r="J39" s="36">
        <f t="shared" si="9"/>
        <v>20559.789753720313</v>
      </c>
      <c r="K39" s="36"/>
      <c r="L39" s="36">
        <f t="shared" si="10"/>
        <v>20923.661490307939</v>
      </c>
      <c r="M39" s="36"/>
      <c r="N39" s="36"/>
    </row>
    <row r="40" spans="1:14">
      <c r="A40" s="34" t="s">
        <v>179</v>
      </c>
      <c r="B40" s="35">
        <v>45465</v>
      </c>
      <c r="C40" s="36"/>
      <c r="D40" s="36">
        <f t="shared" si="2"/>
        <v>3274.1252925249719</v>
      </c>
      <c r="E40" s="36">
        <f t="shared" si="3"/>
        <v>3570302.9922117554</v>
      </c>
      <c r="F40" s="36">
        <f t="shared" si="4"/>
        <v>22763.196707390278</v>
      </c>
      <c r="G40" s="36">
        <f t="shared" si="0"/>
        <v>26037.32199991525</v>
      </c>
      <c r="H40" s="37">
        <f t="shared" si="1"/>
        <v>661</v>
      </c>
      <c r="I40" s="34" t="str">
        <f t="shared" si="8"/>
        <v>2y</v>
      </c>
      <c r="J40" s="36">
        <f t="shared" si="9"/>
        <v>20559.789753720313</v>
      </c>
      <c r="K40" s="36"/>
      <c r="L40" s="36">
        <f t="shared" si="10"/>
        <v>20923.661490307939</v>
      </c>
      <c r="M40" s="36"/>
      <c r="N40" s="36"/>
    </row>
    <row r="41" spans="1:14">
      <c r="A41" s="34" t="s">
        <v>179</v>
      </c>
      <c r="B41" s="35">
        <v>45495</v>
      </c>
      <c r="C41" s="36"/>
      <c r="D41" s="36">
        <f t="shared" si="2"/>
        <v>4028.6049246373113</v>
      </c>
      <c r="E41" s="36">
        <f t="shared" si="3"/>
        <v>3566274.387287118</v>
      </c>
      <c r="F41" s="36">
        <f t="shared" si="4"/>
        <v>22008.717075277938</v>
      </c>
      <c r="G41" s="36">
        <f t="shared" si="0"/>
        <v>26037.32199991525</v>
      </c>
      <c r="H41" s="37">
        <f t="shared" si="1"/>
        <v>691</v>
      </c>
      <c r="I41" s="34" t="str">
        <f t="shared" si="8"/>
        <v>2y</v>
      </c>
      <c r="J41" s="36">
        <f t="shared" si="9"/>
        <v>20559.789753720313</v>
      </c>
      <c r="K41" s="36"/>
      <c r="L41" s="36">
        <f t="shared" si="10"/>
        <v>20923.661490307939</v>
      </c>
      <c r="M41" s="36"/>
      <c r="N41" s="36"/>
    </row>
    <row r="42" spans="1:14">
      <c r="A42" s="34" t="s">
        <v>179</v>
      </c>
      <c r="B42" s="35">
        <v>45526</v>
      </c>
      <c r="C42" s="36"/>
      <c r="D42" s="36">
        <f t="shared" si="2"/>
        <v>3320.6426836342944</v>
      </c>
      <c r="E42" s="36">
        <f t="shared" si="3"/>
        <v>3562953.7446034839</v>
      </c>
      <c r="F42" s="36">
        <f t="shared" si="4"/>
        <v>22716.679316280955</v>
      </c>
      <c r="G42" s="36">
        <f t="shared" si="0"/>
        <v>26037.32199991525</v>
      </c>
      <c r="H42" s="37">
        <f t="shared" si="1"/>
        <v>722</v>
      </c>
      <c r="I42" s="34" t="str">
        <f t="shared" si="8"/>
        <v>2y</v>
      </c>
      <c r="J42" s="36">
        <f t="shared" si="9"/>
        <v>20559.789753720313</v>
      </c>
      <c r="K42" s="36"/>
      <c r="L42" s="36">
        <f t="shared" si="10"/>
        <v>20923.661490307939</v>
      </c>
      <c r="M42" s="36"/>
      <c r="N42" s="36"/>
    </row>
    <row r="43" spans="1:14">
      <c r="A43" s="34" t="s">
        <v>179</v>
      </c>
      <c r="B43" s="35">
        <v>45557</v>
      </c>
      <c r="C43" s="36"/>
      <c r="D43" s="36">
        <f t="shared" si="2"/>
        <v>3341.7947226464821</v>
      </c>
      <c r="E43" s="36">
        <f t="shared" si="3"/>
        <v>3559611.9498808375</v>
      </c>
      <c r="F43" s="36">
        <f t="shared" si="4"/>
        <v>22695.527277268768</v>
      </c>
      <c r="G43" s="36">
        <f t="shared" si="0"/>
        <v>26037.32199991525</v>
      </c>
      <c r="H43" s="37">
        <f t="shared" si="1"/>
        <v>753</v>
      </c>
      <c r="I43" s="34" t="str">
        <f t="shared" ref="I43:I54" si="11">$K$5</f>
        <v>3y</v>
      </c>
      <c r="J43" s="36">
        <f t="shared" ref="J43:J54" si="12">G43*$K$9</f>
        <v>18343.15903400111</v>
      </c>
      <c r="K43" s="36"/>
      <c r="L43" s="36">
        <f t="shared" ref="L43:L54" si="13">G43*$K$11</f>
        <v>18537.849260218052</v>
      </c>
      <c r="M43" s="36"/>
      <c r="N43" s="36"/>
    </row>
    <row r="44" spans="1:14">
      <c r="A44" s="34" t="s">
        <v>179</v>
      </c>
      <c r="B44" s="35">
        <v>45587</v>
      </c>
      <c r="C44" s="36"/>
      <c r="D44" s="36">
        <f t="shared" si="2"/>
        <v>4094.5086102388559</v>
      </c>
      <c r="E44" s="36">
        <f t="shared" si="3"/>
        <v>3555517.4412705987</v>
      </c>
      <c r="F44" s="36">
        <f t="shared" si="4"/>
        <v>21942.813389676394</v>
      </c>
      <c r="G44" s="36">
        <f t="shared" si="0"/>
        <v>26037.32199991525</v>
      </c>
      <c r="H44" s="37">
        <f t="shared" si="1"/>
        <v>783</v>
      </c>
      <c r="I44" s="34" t="str">
        <f t="shared" si="11"/>
        <v>3y</v>
      </c>
      <c r="J44" s="36">
        <f t="shared" si="12"/>
        <v>18343.15903400111</v>
      </c>
      <c r="K44" s="36"/>
      <c r="L44" s="36">
        <f t="shared" si="13"/>
        <v>18537.849260218052</v>
      </c>
      <c r="M44" s="36"/>
      <c r="N44" s="36"/>
    </row>
    <row r="45" spans="1:14">
      <c r="A45" s="34" t="s">
        <v>179</v>
      </c>
      <c r="B45" s="35">
        <v>45618</v>
      </c>
      <c r="C45" s="36"/>
      <c r="D45" s="36">
        <f t="shared" si="2"/>
        <v>3389.1629562052767</v>
      </c>
      <c r="E45" s="36">
        <f t="shared" si="3"/>
        <v>3552128.2783143935</v>
      </c>
      <c r="F45" s="36">
        <f t="shared" si="4"/>
        <v>22648.159043709973</v>
      </c>
      <c r="G45" s="36">
        <f t="shared" si="0"/>
        <v>26037.32199991525</v>
      </c>
      <c r="H45" s="37">
        <f t="shared" si="1"/>
        <v>814</v>
      </c>
      <c r="I45" s="34" t="str">
        <f t="shared" si="11"/>
        <v>3y</v>
      </c>
      <c r="J45" s="36">
        <f t="shared" si="12"/>
        <v>18343.15903400111</v>
      </c>
      <c r="K45" s="36"/>
      <c r="L45" s="36">
        <f t="shared" si="13"/>
        <v>18537.849260218052</v>
      </c>
      <c r="M45" s="36"/>
      <c r="N45" s="36"/>
    </row>
    <row r="46" spans="1:14">
      <c r="A46" s="34" t="s">
        <v>179</v>
      </c>
      <c r="B46" s="35">
        <v>45648</v>
      </c>
      <c r="C46" s="36"/>
      <c r="D46" s="36">
        <f t="shared" si="2"/>
        <v>4140.6408322237839</v>
      </c>
      <c r="E46" s="36">
        <f t="shared" si="3"/>
        <v>3547987.6374821695</v>
      </c>
      <c r="F46" s="36">
        <f t="shared" si="4"/>
        <v>21896.681167691466</v>
      </c>
      <c r="G46" s="36">
        <f t="shared" si="0"/>
        <v>26037.32199991525</v>
      </c>
      <c r="H46" s="37">
        <f t="shared" si="1"/>
        <v>844</v>
      </c>
      <c r="I46" s="34" t="str">
        <f t="shared" si="11"/>
        <v>3y</v>
      </c>
      <c r="J46" s="36">
        <f t="shared" si="12"/>
        <v>18343.15903400111</v>
      </c>
      <c r="K46" s="36"/>
      <c r="L46" s="36">
        <f t="shared" si="13"/>
        <v>18537.849260218052</v>
      </c>
      <c r="M46" s="36"/>
      <c r="N46" s="36"/>
    </row>
    <row r="47" spans="1:14">
      <c r="A47" s="34" t="s">
        <v>179</v>
      </c>
      <c r="B47" s="35">
        <v>45679</v>
      </c>
      <c r="C47" s="36"/>
      <c r="D47" s="36">
        <f t="shared" si="2"/>
        <v>3437.1267748575992</v>
      </c>
      <c r="E47" s="36">
        <f t="shared" si="3"/>
        <v>3544550.5107073118</v>
      </c>
      <c r="F47" s="36">
        <f t="shared" si="4"/>
        <v>22600.195225057651</v>
      </c>
      <c r="G47" s="36">
        <f t="shared" si="0"/>
        <v>26037.32199991525</v>
      </c>
      <c r="H47" s="37">
        <f t="shared" si="1"/>
        <v>875</v>
      </c>
      <c r="I47" s="34" t="str">
        <f t="shared" si="11"/>
        <v>3y</v>
      </c>
      <c r="J47" s="36">
        <f t="shared" si="12"/>
        <v>18343.15903400111</v>
      </c>
      <c r="K47" s="36"/>
      <c r="L47" s="36">
        <f t="shared" si="13"/>
        <v>18537.849260218052</v>
      </c>
      <c r="M47" s="36"/>
      <c r="N47" s="36"/>
    </row>
    <row r="48" spans="1:14">
      <c r="A48" s="34" t="s">
        <v>179</v>
      </c>
      <c r="B48" s="35">
        <v>45710</v>
      </c>
      <c r="C48" s="36"/>
      <c r="D48" s="36">
        <f t="shared" si="2"/>
        <v>3459.0208015741591</v>
      </c>
      <c r="E48" s="36">
        <f t="shared" si="3"/>
        <v>3541091.4899057378</v>
      </c>
      <c r="F48" s="36">
        <f t="shared" si="4"/>
        <v>22578.301198341091</v>
      </c>
      <c r="G48" s="36">
        <f t="shared" si="0"/>
        <v>26037.32199991525</v>
      </c>
      <c r="H48" s="37">
        <f t="shared" si="1"/>
        <v>906</v>
      </c>
      <c r="I48" s="34" t="str">
        <f t="shared" si="11"/>
        <v>3y</v>
      </c>
      <c r="J48" s="36">
        <f t="shared" si="12"/>
        <v>18343.15903400111</v>
      </c>
      <c r="K48" s="36"/>
      <c r="L48" s="36">
        <f t="shared" si="13"/>
        <v>18537.849260218052</v>
      </c>
      <c r="M48" s="36"/>
      <c r="N48" s="36"/>
    </row>
    <row r="49" spans="1:14">
      <c r="A49" s="34" t="s">
        <v>179</v>
      </c>
      <c r="B49" s="35">
        <v>45738</v>
      </c>
      <c r="C49" s="36"/>
      <c r="D49" s="36">
        <f t="shared" si="2"/>
        <v>5663.9189073068956</v>
      </c>
      <c r="E49" s="36">
        <f t="shared" si="3"/>
        <v>3535427.5709984307</v>
      </c>
      <c r="F49" s="36">
        <f t="shared" si="4"/>
        <v>20373.403092608354</v>
      </c>
      <c r="G49" s="36">
        <f t="shared" si="0"/>
        <v>26037.32199991525</v>
      </c>
      <c r="H49" s="37">
        <f t="shared" si="1"/>
        <v>934</v>
      </c>
      <c r="I49" s="34" t="str">
        <f t="shared" si="11"/>
        <v>3y</v>
      </c>
      <c r="J49" s="36">
        <f t="shared" si="12"/>
        <v>18343.15903400111</v>
      </c>
      <c r="K49" s="36"/>
      <c r="L49" s="36">
        <f t="shared" si="13"/>
        <v>18537.849260218052</v>
      </c>
      <c r="M49" s="36"/>
      <c r="N49" s="36"/>
    </row>
    <row r="50" spans="1:14">
      <c r="A50" s="34" t="s">
        <v>179</v>
      </c>
      <c r="B50" s="35">
        <v>45769</v>
      </c>
      <c r="C50" s="36"/>
      <c r="D50" s="36">
        <f t="shared" si="2"/>
        <v>3517.1326778019611</v>
      </c>
      <c r="E50" s="36">
        <f t="shared" si="3"/>
        <v>3531910.4383206288</v>
      </c>
      <c r="F50" s="36">
        <f t="shared" si="4"/>
        <v>22520.189322113289</v>
      </c>
      <c r="G50" s="36">
        <f t="shared" si="0"/>
        <v>26037.32199991525</v>
      </c>
      <c r="H50" s="37">
        <f t="shared" si="1"/>
        <v>965</v>
      </c>
      <c r="I50" s="34" t="str">
        <f t="shared" si="11"/>
        <v>3y</v>
      </c>
      <c r="J50" s="36">
        <f t="shared" si="12"/>
        <v>18343.15903400111</v>
      </c>
      <c r="K50" s="36"/>
      <c r="L50" s="36">
        <f t="shared" si="13"/>
        <v>18537.849260218052</v>
      </c>
      <c r="M50" s="36"/>
      <c r="N50" s="36"/>
    </row>
    <row r="51" spans="1:14">
      <c r="A51" s="34" t="s">
        <v>179</v>
      </c>
      <c r="B51" s="35">
        <v>45799</v>
      </c>
      <c r="C51" s="36"/>
      <c r="D51" s="36">
        <f t="shared" si="2"/>
        <v>4265.2713527332926</v>
      </c>
      <c r="E51" s="36">
        <f t="shared" si="3"/>
        <v>3527645.1669678953</v>
      </c>
      <c r="F51" s="36">
        <f t="shared" si="4"/>
        <v>21772.050647181957</v>
      </c>
      <c r="G51" s="36">
        <f t="shared" si="0"/>
        <v>26037.32199991525</v>
      </c>
      <c r="H51" s="37">
        <f t="shared" si="1"/>
        <v>995</v>
      </c>
      <c r="I51" s="34" t="str">
        <f t="shared" si="11"/>
        <v>3y</v>
      </c>
      <c r="J51" s="36">
        <f t="shared" si="12"/>
        <v>18343.15903400111</v>
      </c>
      <c r="K51" s="36"/>
      <c r="L51" s="36">
        <f t="shared" si="13"/>
        <v>18537.849260218052</v>
      </c>
      <c r="M51" s="36"/>
      <c r="N51" s="36"/>
    </row>
    <row r="52" spans="1:14">
      <c r="A52" s="34" t="s">
        <v>179</v>
      </c>
      <c r="B52" s="35">
        <v>45830</v>
      </c>
      <c r="C52" s="36"/>
      <c r="D52" s="36">
        <f t="shared" si="2"/>
        <v>3566.7055253937251</v>
      </c>
      <c r="E52" s="36">
        <f t="shared" si="3"/>
        <v>3524078.4614425017</v>
      </c>
      <c r="F52" s="36">
        <f t="shared" si="4"/>
        <v>22470.616474521525</v>
      </c>
      <c r="G52" s="36">
        <f t="shared" si="0"/>
        <v>26037.32199991525</v>
      </c>
      <c r="H52" s="37">
        <f t="shared" si="1"/>
        <v>1026</v>
      </c>
      <c r="I52" s="34" t="str">
        <f t="shared" si="11"/>
        <v>3y</v>
      </c>
      <c r="J52" s="36">
        <f t="shared" si="12"/>
        <v>18343.15903400111</v>
      </c>
      <c r="K52" s="36"/>
      <c r="L52" s="36">
        <f t="shared" si="13"/>
        <v>18537.849260218052</v>
      </c>
      <c r="M52" s="36"/>
      <c r="N52" s="36"/>
    </row>
    <row r="53" spans="1:14">
      <c r="A53" s="34" t="s">
        <v>179</v>
      </c>
      <c r="B53" s="35">
        <v>45860</v>
      </c>
      <c r="C53" s="36"/>
      <c r="D53" s="36">
        <f t="shared" si="2"/>
        <v>4313.5506622559951</v>
      </c>
      <c r="E53" s="36">
        <f t="shared" si="3"/>
        <v>3519764.9107802459</v>
      </c>
      <c r="F53" s="36">
        <f t="shared" si="4"/>
        <v>21723.771337659255</v>
      </c>
      <c r="G53" s="36">
        <f t="shared" si="0"/>
        <v>26037.32199991525</v>
      </c>
      <c r="H53" s="37">
        <f t="shared" si="1"/>
        <v>1056</v>
      </c>
      <c r="I53" s="34" t="str">
        <f t="shared" si="11"/>
        <v>3y</v>
      </c>
      <c r="J53" s="36">
        <f t="shared" si="12"/>
        <v>18343.15903400111</v>
      </c>
      <c r="K53" s="36"/>
      <c r="L53" s="36">
        <f t="shared" si="13"/>
        <v>18537.849260218052</v>
      </c>
      <c r="M53" s="36"/>
      <c r="N53" s="36"/>
    </row>
    <row r="54" spans="1:14">
      <c r="A54" s="34" t="s">
        <v>179</v>
      </c>
      <c r="B54" s="35">
        <v>45891</v>
      </c>
      <c r="C54" s="36"/>
      <c r="D54" s="36">
        <f t="shared" si="2"/>
        <v>3616.9016778219047</v>
      </c>
      <c r="E54" s="36">
        <f t="shared" si="3"/>
        <v>3516148.0091024241</v>
      </c>
      <c r="F54" s="36">
        <f t="shared" si="4"/>
        <v>22420.420322093345</v>
      </c>
      <c r="G54" s="36">
        <f t="shared" si="0"/>
        <v>26037.32199991525</v>
      </c>
      <c r="H54" s="37">
        <f t="shared" si="1"/>
        <v>1087</v>
      </c>
      <c r="I54" s="34" t="str">
        <f t="shared" si="11"/>
        <v>3y</v>
      </c>
      <c r="J54" s="36">
        <f t="shared" si="12"/>
        <v>18343.15903400111</v>
      </c>
      <c r="K54" s="36"/>
      <c r="L54" s="36">
        <f t="shared" si="13"/>
        <v>18537.849260218052</v>
      </c>
      <c r="M54" s="36"/>
      <c r="N54" s="36"/>
    </row>
    <row r="55" spans="1:14">
      <c r="A55" s="34" t="s">
        <v>179</v>
      </c>
      <c r="B55" s="35">
        <v>45922</v>
      </c>
      <c r="C55" s="36"/>
      <c r="D55" s="36">
        <f t="shared" si="2"/>
        <v>3639.9408460436462</v>
      </c>
      <c r="E55" s="36">
        <f t="shared" si="3"/>
        <v>3512508.0682563805</v>
      </c>
      <c r="F55" s="36">
        <f t="shared" si="4"/>
        <v>22397.381153871604</v>
      </c>
      <c r="G55" s="36">
        <f t="shared" si="0"/>
        <v>26037.32199991525</v>
      </c>
      <c r="H55" s="37">
        <f t="shared" si="1"/>
        <v>1118</v>
      </c>
      <c r="I55" s="34" t="str">
        <f t="shared" ref="I55:I66" si="14">$L$5</f>
        <v>4y</v>
      </c>
      <c r="J55" s="36">
        <f t="shared" ref="J55:J66" si="15">G55*$L$9</f>
        <v>15795.548740495627</v>
      </c>
      <c r="K55" s="36"/>
      <c r="L55" s="36">
        <f t="shared" ref="L55:L66" si="16">G55*$L$11</f>
        <v>15690.71538953207</v>
      </c>
      <c r="M55" s="36"/>
      <c r="N55" s="36"/>
    </row>
    <row r="56" spans="1:14">
      <c r="A56" s="34" t="s">
        <v>179</v>
      </c>
      <c r="B56" s="35">
        <v>45952</v>
      </c>
      <c r="C56" s="36"/>
      <c r="D56" s="36">
        <f t="shared" si="2"/>
        <v>4384.8750038142753</v>
      </c>
      <c r="E56" s="36">
        <f t="shared" si="3"/>
        <v>3508123.1932525663</v>
      </c>
      <c r="F56" s="36">
        <f t="shared" si="4"/>
        <v>21652.446996100975</v>
      </c>
      <c r="G56" s="36">
        <f t="shared" si="0"/>
        <v>26037.32199991525</v>
      </c>
      <c r="H56" s="37">
        <f t="shared" si="1"/>
        <v>1148</v>
      </c>
      <c r="I56" s="34" t="str">
        <f t="shared" si="14"/>
        <v>4y</v>
      </c>
      <c r="J56" s="36">
        <f t="shared" si="15"/>
        <v>15795.548740495627</v>
      </c>
      <c r="K56" s="36"/>
      <c r="L56" s="36">
        <f t="shared" si="16"/>
        <v>15690.71538953207</v>
      </c>
      <c r="M56" s="36"/>
      <c r="N56" s="36"/>
    </row>
    <row r="57" spans="1:14">
      <c r="A57" s="34" t="s">
        <v>179</v>
      </c>
      <c r="B57" s="35">
        <v>45983</v>
      </c>
      <c r="C57" s="36"/>
      <c r="D57" s="36">
        <f t="shared" si="2"/>
        <v>3691.0578237173977</v>
      </c>
      <c r="E57" s="36">
        <f t="shared" si="3"/>
        <v>3504432.1354288487</v>
      </c>
      <c r="F57" s="36">
        <f t="shared" si="4"/>
        <v>22346.264176197852</v>
      </c>
      <c r="G57" s="36">
        <f t="shared" si="0"/>
        <v>26037.32199991525</v>
      </c>
      <c r="H57" s="37">
        <f t="shared" si="1"/>
        <v>1179</v>
      </c>
      <c r="I57" s="34" t="str">
        <f t="shared" si="14"/>
        <v>4y</v>
      </c>
      <c r="J57" s="36">
        <f t="shared" si="15"/>
        <v>15795.548740495627</v>
      </c>
      <c r="K57" s="36"/>
      <c r="L57" s="36">
        <f t="shared" si="16"/>
        <v>15690.71538953207</v>
      </c>
      <c r="M57" s="36"/>
      <c r="N57" s="36"/>
    </row>
    <row r="58" spans="1:14">
      <c r="A58" s="34" t="s">
        <v>179</v>
      </c>
      <c r="B58" s="35">
        <v>46013</v>
      </c>
      <c r="C58" s="36"/>
      <c r="D58" s="36">
        <f t="shared" si="2"/>
        <v>4434.6581513812525</v>
      </c>
      <c r="E58" s="36">
        <f t="shared" si="3"/>
        <v>3499997.4772774675</v>
      </c>
      <c r="F58" s="36">
        <f t="shared" si="4"/>
        <v>21602.663848533997</v>
      </c>
      <c r="G58" s="36">
        <f t="shared" si="0"/>
        <v>26037.32199991525</v>
      </c>
      <c r="H58" s="37">
        <f t="shared" si="1"/>
        <v>1209</v>
      </c>
      <c r="I58" s="34" t="str">
        <f t="shared" si="14"/>
        <v>4y</v>
      </c>
      <c r="J58" s="36">
        <f t="shared" si="15"/>
        <v>15795.548740495627</v>
      </c>
      <c r="K58" s="36"/>
      <c r="L58" s="36">
        <f t="shared" si="16"/>
        <v>15690.71538953207</v>
      </c>
      <c r="M58" s="36"/>
      <c r="N58" s="36"/>
    </row>
    <row r="59" spans="1:14">
      <c r="A59" s="34" t="s">
        <v>179</v>
      </c>
      <c r="B59" s="35">
        <v>46044</v>
      </c>
      <c r="C59" s="36"/>
      <c r="D59" s="36">
        <f t="shared" si="2"/>
        <v>3742.8175213669965</v>
      </c>
      <c r="E59" s="36">
        <f t="shared" si="3"/>
        <v>3496254.6597561003</v>
      </c>
      <c r="F59" s="36">
        <f t="shared" si="4"/>
        <v>22294.504478548253</v>
      </c>
      <c r="G59" s="36">
        <f t="shared" si="0"/>
        <v>26037.32199991525</v>
      </c>
      <c r="H59" s="37">
        <f t="shared" si="1"/>
        <v>1240</v>
      </c>
      <c r="I59" s="34" t="str">
        <f t="shared" si="14"/>
        <v>4y</v>
      </c>
      <c r="J59" s="36">
        <f t="shared" si="15"/>
        <v>15795.548740495627</v>
      </c>
      <c r="K59" s="36"/>
      <c r="L59" s="36">
        <f t="shared" si="16"/>
        <v>15690.71538953207</v>
      </c>
      <c r="M59" s="36"/>
      <c r="N59" s="36"/>
    </row>
    <row r="60" spans="1:14">
      <c r="A60" s="34" t="s">
        <v>179</v>
      </c>
      <c r="B60" s="35">
        <v>46075</v>
      </c>
      <c r="C60" s="36"/>
      <c r="D60" s="36">
        <f t="shared" si="2"/>
        <v>3766.6587562633795</v>
      </c>
      <c r="E60" s="36">
        <f t="shared" si="3"/>
        <v>3492488.0009998367</v>
      </c>
      <c r="F60" s="36">
        <f t="shared" si="4"/>
        <v>22270.66324365187</v>
      </c>
      <c r="G60" s="36">
        <f t="shared" si="0"/>
        <v>26037.32199991525</v>
      </c>
      <c r="H60" s="37">
        <f t="shared" si="1"/>
        <v>1271</v>
      </c>
      <c r="I60" s="34" t="str">
        <f t="shared" si="14"/>
        <v>4y</v>
      </c>
      <c r="J60" s="36">
        <f t="shared" si="15"/>
        <v>15795.548740495627</v>
      </c>
      <c r="K60" s="36"/>
      <c r="L60" s="36">
        <f t="shared" si="16"/>
        <v>15690.71538953207</v>
      </c>
      <c r="M60" s="36"/>
      <c r="N60" s="36"/>
    </row>
    <row r="61" spans="1:14">
      <c r="A61" s="34" t="s">
        <v>179</v>
      </c>
      <c r="B61" s="35">
        <v>46103</v>
      </c>
      <c r="C61" s="36"/>
      <c r="D61" s="36">
        <f t="shared" si="2"/>
        <v>5943.5554188202987</v>
      </c>
      <c r="E61" s="36">
        <f t="shared" si="3"/>
        <v>3486544.4455810166</v>
      </c>
      <c r="F61" s="36">
        <f t="shared" si="4"/>
        <v>20093.766581094951</v>
      </c>
      <c r="G61" s="36">
        <f t="shared" si="0"/>
        <v>26037.32199991525</v>
      </c>
      <c r="H61" s="37">
        <f t="shared" si="1"/>
        <v>1299</v>
      </c>
      <c r="I61" s="34" t="str">
        <f t="shared" si="14"/>
        <v>4y</v>
      </c>
      <c r="J61" s="36">
        <f t="shared" si="15"/>
        <v>15795.548740495627</v>
      </c>
      <c r="K61" s="36"/>
      <c r="L61" s="36">
        <f t="shared" si="16"/>
        <v>15690.71538953207</v>
      </c>
      <c r="M61" s="36"/>
      <c r="N61" s="36"/>
    </row>
    <row r="62" spans="1:14">
      <c r="A62" s="34" t="s">
        <v>179</v>
      </c>
      <c r="B62" s="35">
        <v>46134</v>
      </c>
      <c r="C62" s="36"/>
      <c r="D62" s="36">
        <f t="shared" si="2"/>
        <v>3828.5114903923386</v>
      </c>
      <c r="E62" s="36">
        <f t="shared" si="3"/>
        <v>3482715.9340906241</v>
      </c>
      <c r="F62" s="36">
        <f t="shared" si="4"/>
        <v>22208.810509522911</v>
      </c>
      <c r="G62" s="36">
        <f t="shared" si="0"/>
        <v>26037.32199991525</v>
      </c>
      <c r="H62" s="37">
        <f t="shared" si="1"/>
        <v>1330</v>
      </c>
      <c r="I62" s="34" t="str">
        <f t="shared" si="14"/>
        <v>4y</v>
      </c>
      <c r="J62" s="36">
        <f t="shared" si="15"/>
        <v>15795.548740495627</v>
      </c>
      <c r="K62" s="36"/>
      <c r="L62" s="36">
        <f t="shared" si="16"/>
        <v>15690.71538953207</v>
      </c>
      <c r="M62" s="36"/>
      <c r="N62" s="36"/>
    </row>
    <row r="63" spans="1:14">
      <c r="A63" s="34" t="s">
        <v>179</v>
      </c>
      <c r="B63" s="35">
        <v>46164</v>
      </c>
      <c r="C63" s="36"/>
      <c r="D63" s="36">
        <f t="shared" si="2"/>
        <v>4568.5251459319516</v>
      </c>
      <c r="E63" s="36">
        <f t="shared" si="3"/>
        <v>3478147.408944692</v>
      </c>
      <c r="F63" s="36">
        <f t="shared" si="4"/>
        <v>21468.796853983298</v>
      </c>
      <c r="G63" s="36">
        <f t="shared" si="0"/>
        <v>26037.32199991525</v>
      </c>
      <c r="H63" s="37">
        <f t="shared" si="1"/>
        <v>1360</v>
      </c>
      <c r="I63" s="34" t="str">
        <f t="shared" si="14"/>
        <v>4y</v>
      </c>
      <c r="J63" s="36">
        <f t="shared" si="15"/>
        <v>15795.548740495627</v>
      </c>
      <c r="K63" s="36"/>
      <c r="L63" s="36">
        <f t="shared" si="16"/>
        <v>15690.71538953207</v>
      </c>
      <c r="M63" s="36"/>
      <c r="N63" s="36"/>
    </row>
    <row r="64" spans="1:14">
      <c r="A64" s="34" t="s">
        <v>179</v>
      </c>
      <c r="B64" s="35">
        <v>46195</v>
      </c>
      <c r="C64" s="36"/>
      <c r="D64" s="36">
        <f t="shared" si="2"/>
        <v>3881.9994634867326</v>
      </c>
      <c r="E64" s="36">
        <f t="shared" si="3"/>
        <v>3474265.409481205</v>
      </c>
      <c r="F64" s="36">
        <f t="shared" si="4"/>
        <v>22155.322536428517</v>
      </c>
      <c r="G64" s="36">
        <f t="shared" si="0"/>
        <v>26037.32199991525</v>
      </c>
      <c r="H64" s="37">
        <f t="shared" si="1"/>
        <v>1391</v>
      </c>
      <c r="I64" s="34" t="str">
        <f t="shared" si="14"/>
        <v>4y</v>
      </c>
      <c r="J64" s="36">
        <f t="shared" si="15"/>
        <v>15795.548740495627</v>
      </c>
      <c r="K64" s="36"/>
      <c r="L64" s="36">
        <f t="shared" si="16"/>
        <v>15690.71538953207</v>
      </c>
      <c r="M64" s="36"/>
      <c r="N64" s="36"/>
    </row>
    <row r="65" spans="1:14">
      <c r="A65" s="34" t="s">
        <v>179</v>
      </c>
      <c r="B65" s="35">
        <v>46225</v>
      </c>
      <c r="C65" s="36"/>
      <c r="D65" s="36">
        <f t="shared" si="2"/>
        <v>4620.6174209215205</v>
      </c>
      <c r="E65" s="36">
        <f t="shared" si="3"/>
        <v>3469644.7920602835</v>
      </c>
      <c r="F65" s="36">
        <f t="shared" si="4"/>
        <v>21416.704578993729</v>
      </c>
      <c r="G65" s="36">
        <f t="shared" si="0"/>
        <v>26037.32199991525</v>
      </c>
      <c r="H65" s="37">
        <f t="shared" si="1"/>
        <v>1421</v>
      </c>
      <c r="I65" s="34" t="str">
        <f t="shared" si="14"/>
        <v>4y</v>
      </c>
      <c r="J65" s="36">
        <f t="shared" si="15"/>
        <v>15795.548740495627</v>
      </c>
      <c r="K65" s="36"/>
      <c r="L65" s="36">
        <f t="shared" si="16"/>
        <v>15690.71538953207</v>
      </c>
      <c r="M65" s="36"/>
      <c r="N65" s="36"/>
    </row>
    <row r="66" spans="1:14">
      <c r="A66" s="34" t="s">
        <v>179</v>
      </c>
      <c r="B66" s="35">
        <v>46256</v>
      </c>
      <c r="C66" s="36"/>
      <c r="D66" s="36">
        <f t="shared" si="2"/>
        <v>3936.1599682983797</v>
      </c>
      <c r="E66" s="36">
        <f t="shared" si="3"/>
        <v>3465708.6320919851</v>
      </c>
      <c r="F66" s="36">
        <f t="shared" si="4"/>
        <v>22101.16203161687</v>
      </c>
      <c r="G66" s="36">
        <f t="shared" si="0"/>
        <v>26037.32199991525</v>
      </c>
      <c r="H66" s="37">
        <f t="shared" si="1"/>
        <v>1452</v>
      </c>
      <c r="I66" s="34" t="str">
        <f t="shared" si="14"/>
        <v>4y</v>
      </c>
      <c r="J66" s="36">
        <f t="shared" si="15"/>
        <v>15795.548740495627</v>
      </c>
      <c r="K66" s="36"/>
      <c r="L66" s="36">
        <f t="shared" si="16"/>
        <v>15690.71538953207</v>
      </c>
      <c r="M66" s="36"/>
      <c r="N66" s="36"/>
    </row>
    <row r="67" spans="1:14">
      <c r="A67" s="34" t="s">
        <v>179</v>
      </c>
      <c r="B67" s="35">
        <v>46287</v>
      </c>
      <c r="C67" s="36"/>
      <c r="D67" s="36">
        <f t="shared" si="2"/>
        <v>3961.2327680964409</v>
      </c>
      <c r="E67" s="36">
        <f t="shared" si="3"/>
        <v>3461747.3993238886</v>
      </c>
      <c r="F67" s="36">
        <f t="shared" si="4"/>
        <v>22076.089231818809</v>
      </c>
      <c r="G67" s="36">
        <f t="shared" si="0"/>
        <v>26037.32199991525</v>
      </c>
      <c r="H67" s="37">
        <f t="shared" si="1"/>
        <v>1483</v>
      </c>
      <c r="I67" s="34" t="str">
        <f t="shared" ref="I67:I78" si="17">$M$5</f>
        <v>5y</v>
      </c>
      <c r="J67" s="36">
        <f t="shared" ref="J67:J78" si="18">G67*$M$9</f>
        <v>13529.195364317504</v>
      </c>
      <c r="K67" s="36"/>
      <c r="L67" s="36">
        <f t="shared" ref="L67:L78" si="19">G67*$M$11</f>
        <v>13132.049518616388</v>
      </c>
      <c r="M67" s="36"/>
      <c r="N67" s="36"/>
    </row>
    <row r="68" spans="1:14">
      <c r="A68" s="34" t="s">
        <v>179</v>
      </c>
      <c r="B68" s="35">
        <v>46317</v>
      </c>
      <c r="C68" s="36"/>
      <c r="D68" s="36">
        <f t="shared" si="2"/>
        <v>4697.7832369597745</v>
      </c>
      <c r="E68" s="36">
        <f t="shared" si="3"/>
        <v>3457049.6160869286</v>
      </c>
      <c r="F68" s="36">
        <f t="shared" si="4"/>
        <v>21339.538762955475</v>
      </c>
      <c r="G68" s="36">
        <f t="shared" si="0"/>
        <v>26037.32199991525</v>
      </c>
      <c r="H68" s="37">
        <f t="shared" si="1"/>
        <v>1513</v>
      </c>
      <c r="I68" s="34" t="str">
        <f t="shared" si="17"/>
        <v>5y</v>
      </c>
      <c r="J68" s="36">
        <f t="shared" si="18"/>
        <v>13529.195364317504</v>
      </c>
      <c r="K68" s="36"/>
      <c r="L68" s="36">
        <f t="shared" si="19"/>
        <v>13132.049518616388</v>
      </c>
      <c r="M68" s="36"/>
      <c r="N68" s="36"/>
    </row>
    <row r="69" spans="1:14">
      <c r="A69" s="34" t="s">
        <v>179</v>
      </c>
      <c r="B69" s="35">
        <v>46348</v>
      </c>
      <c r="C69" s="36"/>
      <c r="D69" s="36">
        <f t="shared" si="2"/>
        <v>4016.3895138820772</v>
      </c>
      <c r="E69" s="36">
        <f t="shared" si="3"/>
        <v>3453033.2265730468</v>
      </c>
      <c r="F69" s="36">
        <f t="shared" si="4"/>
        <v>22020.932486033173</v>
      </c>
      <c r="G69" s="36">
        <f t="shared" si="0"/>
        <v>26037.32199991525</v>
      </c>
      <c r="H69" s="37">
        <f t="shared" si="1"/>
        <v>1544</v>
      </c>
      <c r="I69" s="34" t="str">
        <f t="shared" si="17"/>
        <v>5y</v>
      </c>
      <c r="J69" s="36">
        <f t="shared" si="18"/>
        <v>13529.195364317504</v>
      </c>
      <c r="K69" s="36"/>
      <c r="L69" s="36">
        <f t="shared" si="19"/>
        <v>13132.049518616388</v>
      </c>
      <c r="M69" s="36"/>
      <c r="N69" s="36"/>
    </row>
    <row r="70" spans="1:14">
      <c r="A70" s="34" t="s">
        <v>179</v>
      </c>
      <c r="B70" s="35">
        <v>46378</v>
      </c>
      <c r="C70" s="36"/>
      <c r="D70" s="36">
        <f t="shared" si="2"/>
        <v>4751.5007402183874</v>
      </c>
      <c r="E70" s="36">
        <f t="shared" si="3"/>
        <v>3448281.7258328283</v>
      </c>
      <c r="F70" s="36">
        <f t="shared" si="4"/>
        <v>21285.821259696862</v>
      </c>
      <c r="G70" s="36">
        <f t="shared" si="0"/>
        <v>26037.32199991525</v>
      </c>
      <c r="H70" s="37">
        <f t="shared" si="1"/>
        <v>1574</v>
      </c>
      <c r="I70" s="34" t="str">
        <f t="shared" si="17"/>
        <v>5y</v>
      </c>
      <c r="J70" s="36">
        <f t="shared" si="18"/>
        <v>13529.195364317504</v>
      </c>
      <c r="K70" s="36"/>
      <c r="L70" s="36">
        <f t="shared" si="19"/>
        <v>13132.049518616388</v>
      </c>
      <c r="M70" s="36"/>
      <c r="N70" s="36"/>
    </row>
    <row r="71" spans="1:14">
      <c r="A71" s="34" t="s">
        <v>179</v>
      </c>
      <c r="B71" s="35">
        <v>46409</v>
      </c>
      <c r="C71" s="36"/>
      <c r="D71" s="36">
        <f t="shared" si="2"/>
        <v>4072.2397737198371</v>
      </c>
      <c r="E71" s="36">
        <f t="shared" si="3"/>
        <v>3444209.4860591083</v>
      </c>
      <c r="F71" s="36">
        <f t="shared" si="4"/>
        <v>21965.082226195413</v>
      </c>
      <c r="G71" s="36">
        <f t="shared" si="0"/>
        <v>26037.32199991525</v>
      </c>
      <c r="H71" s="37">
        <f t="shared" si="1"/>
        <v>1605</v>
      </c>
      <c r="I71" s="34" t="str">
        <f t="shared" si="17"/>
        <v>5y</v>
      </c>
      <c r="J71" s="36">
        <f t="shared" si="18"/>
        <v>13529.195364317504</v>
      </c>
      <c r="K71" s="36"/>
      <c r="L71" s="36">
        <f t="shared" si="19"/>
        <v>13132.049518616388</v>
      </c>
      <c r="M71" s="36"/>
      <c r="N71" s="36"/>
    </row>
    <row r="72" spans="1:14">
      <c r="A72" s="34" t="s">
        <v>179</v>
      </c>
      <c r="B72" s="35">
        <v>46440</v>
      </c>
      <c r="C72" s="36"/>
      <c r="D72" s="36">
        <f t="shared" si="2"/>
        <v>4098.1793832373696</v>
      </c>
      <c r="E72" s="36">
        <f t="shared" si="3"/>
        <v>3440111.3066758709</v>
      </c>
      <c r="F72" s="36">
        <f t="shared" si="4"/>
        <v>21939.14261667788</v>
      </c>
      <c r="G72" s="36">
        <f t="shared" si="0"/>
        <v>26037.32199991525</v>
      </c>
      <c r="H72" s="37">
        <f t="shared" si="1"/>
        <v>1636</v>
      </c>
      <c r="I72" s="34" t="str">
        <f t="shared" si="17"/>
        <v>5y</v>
      </c>
      <c r="J72" s="36">
        <f t="shared" si="18"/>
        <v>13529.195364317504</v>
      </c>
      <c r="K72" s="36"/>
      <c r="L72" s="36">
        <f t="shared" si="19"/>
        <v>13132.049518616388</v>
      </c>
      <c r="M72" s="36"/>
      <c r="N72" s="36"/>
    </row>
    <row r="73" spans="1:14">
      <c r="A73" s="34" t="s">
        <v>179</v>
      </c>
      <c r="B73" s="35">
        <v>46468</v>
      </c>
      <c r="C73" s="36"/>
      <c r="D73" s="36">
        <f t="shared" si="2"/>
        <v>6244.9007834239383</v>
      </c>
      <c r="E73" s="36">
        <f t="shared" si="3"/>
        <v>3433866.4058924471</v>
      </c>
      <c r="F73" s="36">
        <f t="shared" si="4"/>
        <v>19792.421216491311</v>
      </c>
      <c r="G73" s="36">
        <f t="shared" si="0"/>
        <v>26037.32199991525</v>
      </c>
      <c r="H73" s="37">
        <f t="shared" si="1"/>
        <v>1664</v>
      </c>
      <c r="I73" s="34" t="str">
        <f t="shared" si="17"/>
        <v>5y</v>
      </c>
      <c r="J73" s="36">
        <f t="shared" si="18"/>
        <v>13529.195364317504</v>
      </c>
      <c r="K73" s="36"/>
      <c r="L73" s="36">
        <f t="shared" si="19"/>
        <v>13132.049518616388</v>
      </c>
      <c r="M73" s="36"/>
      <c r="N73" s="36"/>
    </row>
    <row r="74" spans="1:14">
      <c r="A74" s="34" t="s">
        <v>179</v>
      </c>
      <c r="B74" s="35">
        <v>46499</v>
      </c>
      <c r="C74" s="36"/>
      <c r="D74" s="36">
        <f t="shared" si="2"/>
        <v>4164.0633870387028</v>
      </c>
      <c r="E74" s="36">
        <f t="shared" si="3"/>
        <v>3429702.3425054085</v>
      </c>
      <c r="F74" s="36">
        <f t="shared" si="4"/>
        <v>21873.258612876547</v>
      </c>
      <c r="G74" s="36">
        <f t="shared" si="0"/>
        <v>26037.32199991525</v>
      </c>
      <c r="H74" s="37">
        <f t="shared" si="1"/>
        <v>1695</v>
      </c>
      <c r="I74" s="34" t="str">
        <f t="shared" si="17"/>
        <v>5y</v>
      </c>
      <c r="J74" s="36">
        <f t="shared" si="18"/>
        <v>13529.195364317504</v>
      </c>
      <c r="K74" s="36"/>
      <c r="L74" s="36">
        <f t="shared" si="19"/>
        <v>13132.049518616388</v>
      </c>
      <c r="M74" s="36"/>
      <c r="N74" s="36"/>
    </row>
    <row r="75" spans="1:14">
      <c r="A75" s="34" t="s">
        <v>179</v>
      </c>
      <c r="B75" s="35">
        <v>46529</v>
      </c>
      <c r="C75" s="36"/>
      <c r="D75" s="36">
        <f t="shared" si="2"/>
        <v>4895.3212584435532</v>
      </c>
      <c r="E75" s="36">
        <f t="shared" si="3"/>
        <v>3424807.021246965</v>
      </c>
      <c r="F75" s="36">
        <f t="shared" si="4"/>
        <v>21142.000741471697</v>
      </c>
      <c r="G75" s="36">
        <f t="shared" si="0"/>
        <v>26037.32199991525</v>
      </c>
      <c r="H75" s="37">
        <f t="shared" si="1"/>
        <v>1725</v>
      </c>
      <c r="I75" s="34" t="str">
        <f t="shared" si="17"/>
        <v>5y</v>
      </c>
      <c r="J75" s="36">
        <f t="shared" si="18"/>
        <v>13529.195364317504</v>
      </c>
      <c r="K75" s="36"/>
      <c r="L75" s="36">
        <f t="shared" si="19"/>
        <v>13132.049518616388</v>
      </c>
      <c r="M75" s="36"/>
      <c r="N75" s="36"/>
    </row>
    <row r="76" spans="1:14">
      <c r="A76" s="34" t="s">
        <v>179</v>
      </c>
      <c r="B76" s="35">
        <v>46560</v>
      </c>
      <c r="C76" s="36"/>
      <c r="D76" s="36">
        <f t="shared" si="2"/>
        <v>4221.7704262188308</v>
      </c>
      <c r="E76" s="36">
        <f t="shared" si="3"/>
        <v>3420585.2508207462</v>
      </c>
      <c r="F76" s="36">
        <f t="shared" si="4"/>
        <v>21815.551573696419</v>
      </c>
      <c r="G76" s="36">
        <f t="shared" si="0"/>
        <v>26037.32199991525</v>
      </c>
      <c r="H76" s="37">
        <f t="shared" si="1"/>
        <v>1756</v>
      </c>
      <c r="I76" s="34" t="str">
        <f t="shared" si="17"/>
        <v>5y</v>
      </c>
      <c r="J76" s="36">
        <f t="shared" si="18"/>
        <v>13529.195364317504</v>
      </c>
      <c r="K76" s="36"/>
      <c r="L76" s="36">
        <f t="shared" si="19"/>
        <v>13132.049518616388</v>
      </c>
      <c r="M76" s="36"/>
      <c r="N76" s="36"/>
    </row>
    <row r="77" spans="1:14">
      <c r="A77" s="34" t="s">
        <v>179</v>
      </c>
      <c r="B77" s="35">
        <v>46590</v>
      </c>
      <c r="C77" s="36"/>
      <c r="D77" s="36">
        <f t="shared" si="2"/>
        <v>4951.522508554488</v>
      </c>
      <c r="E77" s="36">
        <f t="shared" si="3"/>
        <v>3415633.7283121916</v>
      </c>
      <c r="F77" s="36">
        <f t="shared" si="4"/>
        <v>21085.799491360762</v>
      </c>
      <c r="G77" s="36">
        <f t="shared" si="0"/>
        <v>26037.32199991525</v>
      </c>
      <c r="H77" s="37">
        <f t="shared" si="1"/>
        <v>1786</v>
      </c>
      <c r="I77" s="34" t="str">
        <f t="shared" si="17"/>
        <v>5y</v>
      </c>
      <c r="J77" s="36">
        <f t="shared" si="18"/>
        <v>13529.195364317504</v>
      </c>
      <c r="K77" s="36"/>
      <c r="L77" s="36">
        <f t="shared" si="19"/>
        <v>13132.049518616388</v>
      </c>
      <c r="M77" s="36"/>
      <c r="N77" s="36"/>
    </row>
    <row r="78" spans="1:14">
      <c r="A78" s="34" t="s">
        <v>179</v>
      </c>
      <c r="B78" s="35">
        <v>46621</v>
      </c>
      <c r="C78" s="36"/>
      <c r="D78" s="36">
        <f t="shared" si="2"/>
        <v>4280.2030455978675</v>
      </c>
      <c r="E78" s="36">
        <f t="shared" si="3"/>
        <v>3411353.5252665938</v>
      </c>
      <c r="F78" s="36">
        <f t="shared" si="4"/>
        <v>21757.118954317382</v>
      </c>
      <c r="G78" s="36">
        <f t="shared" si="0"/>
        <v>26037.32199991525</v>
      </c>
      <c r="H78" s="37">
        <f t="shared" si="1"/>
        <v>1817</v>
      </c>
      <c r="I78" s="34" t="str">
        <f t="shared" si="17"/>
        <v>5y</v>
      </c>
      <c r="J78" s="36">
        <f t="shared" si="18"/>
        <v>13529.195364317504</v>
      </c>
      <c r="K78" s="36"/>
      <c r="L78" s="36">
        <f t="shared" si="19"/>
        <v>13132.049518616388</v>
      </c>
      <c r="M78" s="36"/>
      <c r="N78" s="36"/>
    </row>
    <row r="79" spans="1:14">
      <c r="A79" s="34" t="s">
        <v>179</v>
      </c>
      <c r="B79" s="35">
        <v>46652</v>
      </c>
      <c r="C79" s="36"/>
      <c r="D79" s="36">
        <f t="shared" si="2"/>
        <v>4307.4673526691404</v>
      </c>
      <c r="E79" s="36">
        <f t="shared" si="3"/>
        <v>3407046.0579139246</v>
      </c>
      <c r="F79" s="36">
        <f t="shared" si="4"/>
        <v>21729.854647246109</v>
      </c>
      <c r="G79" s="36">
        <f t="shared" si="0"/>
        <v>26037.32199991525</v>
      </c>
      <c r="H79" s="37">
        <f t="shared" si="1"/>
        <v>1848</v>
      </c>
      <c r="I79" s="34" t="str">
        <f t="shared" ref="I79:I90" si="20">$N$5</f>
        <v>6y</v>
      </c>
      <c r="J79" s="36">
        <f t="shared" ref="J79:J90" si="21">G79*$N$9</f>
        <v>11553.811171906853</v>
      </c>
      <c r="K79" s="36"/>
      <c r="L79" s="36">
        <f t="shared" ref="L79:L90" si="22">G79*$N$11</f>
        <v>10919.810751606763</v>
      </c>
      <c r="M79" s="36"/>
      <c r="N79" s="36"/>
    </row>
    <row r="80" spans="1:14">
      <c r="A80" s="34" t="s">
        <v>179</v>
      </c>
      <c r="B80" s="35">
        <v>46682</v>
      </c>
      <c r="C80" s="36"/>
      <c r="D80" s="36">
        <f t="shared" si="2"/>
        <v>5034.9832867472251</v>
      </c>
      <c r="E80" s="36">
        <f t="shared" si="3"/>
        <v>3402011.0746271773</v>
      </c>
      <c r="F80" s="36">
        <f t="shared" si="4"/>
        <v>21002.338713168025</v>
      </c>
      <c r="G80" s="36">
        <f t="shared" si="0"/>
        <v>26037.32199991525</v>
      </c>
      <c r="H80" s="37">
        <f t="shared" si="1"/>
        <v>1878</v>
      </c>
      <c r="I80" s="34" t="str">
        <f t="shared" si="20"/>
        <v>6y</v>
      </c>
      <c r="J80" s="36">
        <f t="shared" si="21"/>
        <v>11553.811171906853</v>
      </c>
      <c r="K80" s="36"/>
      <c r="L80" s="36">
        <f t="shared" si="22"/>
        <v>10919.810751606763</v>
      </c>
      <c r="M80" s="36"/>
      <c r="N80" s="36"/>
    </row>
    <row r="81" spans="1:14">
      <c r="A81" s="34" t="s">
        <v>179</v>
      </c>
      <c r="B81" s="35">
        <v>46713</v>
      </c>
      <c r="C81" s="36"/>
      <c r="D81" s="36">
        <f t="shared" si="2"/>
        <v>4366.9774834544623</v>
      </c>
      <c r="E81" s="36">
        <f t="shared" si="3"/>
        <v>3397644.0971437227</v>
      </c>
      <c r="F81" s="36">
        <f t="shared" si="4"/>
        <v>21670.344516460787</v>
      </c>
      <c r="G81" s="36">
        <f t="shared" si="0"/>
        <v>26037.32199991525</v>
      </c>
      <c r="H81" s="37">
        <f t="shared" si="1"/>
        <v>1909</v>
      </c>
      <c r="I81" s="34" t="str">
        <f t="shared" si="20"/>
        <v>6y</v>
      </c>
      <c r="J81" s="36">
        <f t="shared" si="21"/>
        <v>11553.811171906853</v>
      </c>
      <c r="K81" s="36"/>
      <c r="L81" s="36">
        <f t="shared" si="22"/>
        <v>10919.810751606763</v>
      </c>
      <c r="M81" s="36"/>
      <c r="N81" s="36"/>
    </row>
    <row r="82" spans="1:14">
      <c r="A82" s="34" t="s">
        <v>179</v>
      </c>
      <c r="B82" s="35">
        <v>46743</v>
      </c>
      <c r="C82" s="36"/>
      <c r="D82" s="36">
        <f t="shared" si="2"/>
        <v>5092.9405791662757</v>
      </c>
      <c r="E82" s="36">
        <f t="shared" si="3"/>
        <v>3392551.1565645565</v>
      </c>
      <c r="F82" s="36">
        <f t="shared" si="4"/>
        <v>20944.381420748974</v>
      </c>
      <c r="G82" s="36">
        <f t="shared" si="0"/>
        <v>26037.32199991525</v>
      </c>
      <c r="H82" s="37">
        <f t="shared" si="1"/>
        <v>1939</v>
      </c>
      <c r="I82" s="34" t="str">
        <f t="shared" si="20"/>
        <v>6y</v>
      </c>
      <c r="J82" s="36">
        <f t="shared" si="21"/>
        <v>11553.811171906853</v>
      </c>
      <c r="K82" s="36"/>
      <c r="L82" s="36">
        <f t="shared" si="22"/>
        <v>10919.810751606763</v>
      </c>
      <c r="M82" s="36"/>
      <c r="N82" s="36"/>
    </row>
    <row r="83" spans="1:14">
      <c r="A83" s="34" t="s">
        <v>179</v>
      </c>
      <c r="B83" s="35">
        <v>46774</v>
      </c>
      <c r="C83" s="36"/>
      <c r="D83" s="36">
        <f t="shared" si="2"/>
        <v>4427.2358656341712</v>
      </c>
      <c r="E83" s="36">
        <f t="shared" si="3"/>
        <v>3388123.9206989221</v>
      </c>
      <c r="F83" s="36">
        <f t="shared" si="4"/>
        <v>21610.086134281079</v>
      </c>
      <c r="G83" s="36">
        <f t="shared" ref="G83:G146" si="23">SUM(D83,F83)</f>
        <v>26037.32199991525</v>
      </c>
      <c r="H83" s="37">
        <f t="shared" ref="H83:H146" si="24">B83-$A$3</f>
        <v>1970</v>
      </c>
      <c r="I83" s="34" t="str">
        <f t="shared" si="20"/>
        <v>6y</v>
      </c>
      <c r="J83" s="36">
        <f t="shared" si="21"/>
        <v>11553.811171906853</v>
      </c>
      <c r="K83" s="36"/>
      <c r="L83" s="36">
        <f t="shared" si="22"/>
        <v>10919.810751606763</v>
      </c>
      <c r="M83" s="36"/>
      <c r="N83" s="36"/>
    </row>
    <row r="84" spans="1:14">
      <c r="A84" s="34" t="s">
        <v>179</v>
      </c>
      <c r="B84" s="35">
        <v>46805</v>
      </c>
      <c r="C84" s="36"/>
      <c r="D84" s="36">
        <f t="shared" ref="D84:D147" si="25">$B$14-F84</f>
        <v>4455.4367516275961</v>
      </c>
      <c r="E84" s="36">
        <f t="shared" ref="E84:E147" si="26">E83-D84</f>
        <v>3383668.4839472948</v>
      </c>
      <c r="F84" s="36">
        <f t="shared" si="4"/>
        <v>21581.885248287654</v>
      </c>
      <c r="G84" s="36">
        <f t="shared" si="23"/>
        <v>26037.32199991525</v>
      </c>
      <c r="H84" s="37">
        <f t="shared" si="24"/>
        <v>2001</v>
      </c>
      <c r="I84" s="34" t="str">
        <f t="shared" si="20"/>
        <v>6y</v>
      </c>
      <c r="J84" s="36">
        <f t="shared" si="21"/>
        <v>11553.811171906853</v>
      </c>
      <c r="K84" s="36"/>
      <c r="L84" s="36">
        <f t="shared" si="22"/>
        <v>10919.810751606763</v>
      </c>
      <c r="M84" s="36"/>
      <c r="N84" s="36"/>
    </row>
    <row r="85" spans="1:14">
      <c r="A85" s="34" t="s">
        <v>179</v>
      </c>
      <c r="B85" s="35">
        <v>46834</v>
      </c>
      <c r="C85" s="36"/>
      <c r="D85" s="36">
        <f t="shared" si="25"/>
        <v>5874.3659654347939</v>
      </c>
      <c r="E85" s="36">
        <f t="shared" si="26"/>
        <v>3377794.1179818599</v>
      </c>
      <c r="F85" s="36">
        <f t="shared" ref="F85:F148" si="27">E84*$J$3*((B85-B84)/365)</f>
        <v>20162.956034480456</v>
      </c>
      <c r="G85" s="36">
        <f t="shared" si="23"/>
        <v>26037.32199991525</v>
      </c>
      <c r="H85" s="37">
        <f t="shared" si="24"/>
        <v>2030</v>
      </c>
      <c r="I85" s="34" t="str">
        <f t="shared" si="20"/>
        <v>6y</v>
      </c>
      <c r="J85" s="36">
        <f t="shared" si="21"/>
        <v>11553.811171906853</v>
      </c>
      <c r="K85" s="36"/>
      <c r="L85" s="36">
        <f t="shared" si="22"/>
        <v>10919.810751606763</v>
      </c>
      <c r="M85" s="36"/>
      <c r="N85" s="36"/>
    </row>
    <row r="86" spans="1:14">
      <c r="A86" s="34" t="s">
        <v>179</v>
      </c>
      <c r="B86" s="35">
        <v>46865</v>
      </c>
      <c r="C86" s="36"/>
      <c r="D86" s="36">
        <f t="shared" si="25"/>
        <v>4521.2361798938146</v>
      </c>
      <c r="E86" s="36">
        <f t="shared" si="26"/>
        <v>3373272.8818019661</v>
      </c>
      <c r="F86" s="36">
        <f t="shared" si="27"/>
        <v>21516.085820021435</v>
      </c>
      <c r="G86" s="36">
        <f t="shared" si="23"/>
        <v>26037.32199991525</v>
      </c>
      <c r="H86" s="37">
        <f t="shared" si="24"/>
        <v>2061</v>
      </c>
      <c r="I86" s="34" t="str">
        <f t="shared" si="20"/>
        <v>6y</v>
      </c>
      <c r="J86" s="36">
        <f t="shared" si="21"/>
        <v>11553.811171906853</v>
      </c>
      <c r="K86" s="36"/>
      <c r="L86" s="36">
        <f t="shared" si="22"/>
        <v>10919.810751606763</v>
      </c>
      <c r="M86" s="36"/>
      <c r="N86" s="36"/>
    </row>
    <row r="87" spans="1:14">
      <c r="A87" s="34" t="s">
        <v>179</v>
      </c>
      <c r="B87" s="35">
        <v>46895</v>
      </c>
      <c r="C87" s="36"/>
      <c r="D87" s="36">
        <f t="shared" si="25"/>
        <v>5243.1740983962845</v>
      </c>
      <c r="E87" s="36">
        <f t="shared" si="26"/>
        <v>3368029.7077035699</v>
      </c>
      <c r="F87" s="36">
        <f t="shared" si="27"/>
        <v>20794.147901518965</v>
      </c>
      <c r="G87" s="36">
        <f t="shared" si="23"/>
        <v>26037.32199991525</v>
      </c>
      <c r="H87" s="37">
        <f t="shared" si="24"/>
        <v>2091</v>
      </c>
      <c r="I87" s="34" t="str">
        <f t="shared" si="20"/>
        <v>6y</v>
      </c>
      <c r="J87" s="36">
        <f t="shared" si="21"/>
        <v>11553.811171906853</v>
      </c>
      <c r="K87" s="36"/>
      <c r="L87" s="36">
        <f t="shared" si="22"/>
        <v>10919.810751606763</v>
      </c>
      <c r="M87" s="36"/>
      <c r="N87" s="36"/>
    </row>
    <row r="88" spans="1:14">
      <c r="A88" s="34" t="s">
        <v>179</v>
      </c>
      <c r="B88" s="35">
        <v>46926</v>
      </c>
      <c r="C88" s="36"/>
      <c r="D88" s="36">
        <f t="shared" si="25"/>
        <v>4583.4341357760713</v>
      </c>
      <c r="E88" s="36">
        <f t="shared" si="26"/>
        <v>3363446.2735677939</v>
      </c>
      <c r="F88" s="36">
        <f t="shared" si="27"/>
        <v>21453.887864139178</v>
      </c>
      <c r="G88" s="36">
        <f t="shared" si="23"/>
        <v>26037.32199991525</v>
      </c>
      <c r="H88" s="37">
        <f t="shared" si="24"/>
        <v>2122</v>
      </c>
      <c r="I88" s="34" t="str">
        <f t="shared" si="20"/>
        <v>6y</v>
      </c>
      <c r="J88" s="36">
        <f t="shared" si="21"/>
        <v>11553.811171906853</v>
      </c>
      <c r="K88" s="36"/>
      <c r="L88" s="36">
        <f t="shared" si="22"/>
        <v>10919.810751606763</v>
      </c>
      <c r="M88" s="36"/>
      <c r="N88" s="36"/>
    </row>
    <row r="89" spans="1:14">
      <c r="A89" s="34" t="s">
        <v>179</v>
      </c>
      <c r="B89" s="35">
        <v>46956</v>
      </c>
      <c r="C89" s="36"/>
      <c r="D89" s="36">
        <f t="shared" si="25"/>
        <v>5303.7490806617279</v>
      </c>
      <c r="E89" s="36">
        <f t="shared" si="26"/>
        <v>3358142.5244871322</v>
      </c>
      <c r="F89" s="36">
        <f t="shared" si="27"/>
        <v>20733.572919253522</v>
      </c>
      <c r="G89" s="36">
        <f t="shared" si="23"/>
        <v>26037.32199991525</v>
      </c>
      <c r="H89" s="37">
        <f t="shared" si="24"/>
        <v>2152</v>
      </c>
      <c r="I89" s="34" t="str">
        <f t="shared" si="20"/>
        <v>6y</v>
      </c>
      <c r="J89" s="36">
        <f t="shared" si="21"/>
        <v>11553.811171906853</v>
      </c>
      <c r="K89" s="36"/>
      <c r="L89" s="36">
        <f t="shared" si="22"/>
        <v>10919.810751606763</v>
      </c>
      <c r="M89" s="36"/>
      <c r="N89" s="36"/>
    </row>
    <row r="90" spans="1:14">
      <c r="A90" s="34" t="s">
        <v>179</v>
      </c>
      <c r="B90" s="35">
        <v>46987</v>
      </c>
      <c r="C90" s="36"/>
      <c r="D90" s="36">
        <f t="shared" si="25"/>
        <v>4646.4141384561226</v>
      </c>
      <c r="E90" s="36">
        <f t="shared" si="26"/>
        <v>3353496.1103486759</v>
      </c>
      <c r="F90" s="36">
        <f t="shared" si="27"/>
        <v>21390.907861459127</v>
      </c>
      <c r="G90" s="36">
        <f t="shared" si="23"/>
        <v>26037.32199991525</v>
      </c>
      <c r="H90" s="37">
        <f t="shared" si="24"/>
        <v>2183</v>
      </c>
      <c r="I90" s="34" t="str">
        <f t="shared" si="20"/>
        <v>6y</v>
      </c>
      <c r="J90" s="36">
        <f t="shared" si="21"/>
        <v>11553.811171906853</v>
      </c>
      <c r="K90" s="36"/>
      <c r="L90" s="36">
        <f t="shared" si="22"/>
        <v>10919.810751606763</v>
      </c>
      <c r="M90" s="36"/>
      <c r="N90" s="36"/>
    </row>
    <row r="91" spans="1:14">
      <c r="A91" s="34" t="s">
        <v>179</v>
      </c>
      <c r="B91" s="35">
        <v>47018</v>
      </c>
      <c r="C91" s="36"/>
      <c r="D91" s="36">
        <f t="shared" si="25"/>
        <v>4676.0111600230011</v>
      </c>
      <c r="E91" s="36">
        <f t="shared" si="26"/>
        <v>3348820.0991886528</v>
      </c>
      <c r="F91" s="36">
        <f t="shared" si="27"/>
        <v>21361.310839892249</v>
      </c>
      <c r="G91" s="36">
        <f t="shared" si="23"/>
        <v>26037.32199991525</v>
      </c>
      <c r="H91" s="37">
        <f t="shared" si="24"/>
        <v>2214</v>
      </c>
      <c r="I91" s="34" t="str">
        <f t="shared" ref="I91:I102" si="28">$O$5</f>
        <v>7y</v>
      </c>
      <c r="J91" s="36">
        <f t="shared" ref="J91:J102" si="29">G91*$O$9</f>
        <v>9967.0558763861718</v>
      </c>
      <c r="K91" s="36"/>
      <c r="L91" s="36">
        <f t="shared" ref="L91:L102" si="30">G91*$O$11</f>
        <v>9153.5745119356143</v>
      </c>
      <c r="M91" s="36"/>
      <c r="N91" s="36"/>
    </row>
    <row r="92" spans="1:14">
      <c r="A92" s="34" t="s">
        <v>179</v>
      </c>
      <c r="B92" s="35">
        <v>47048</v>
      </c>
      <c r="C92" s="36"/>
      <c r="D92" s="36">
        <f t="shared" si="25"/>
        <v>5393.91042957424</v>
      </c>
      <c r="E92" s="36">
        <f t="shared" si="26"/>
        <v>3343426.1887590787</v>
      </c>
      <c r="F92" s="36">
        <f t="shared" si="27"/>
        <v>20643.41157034101</v>
      </c>
      <c r="G92" s="36">
        <f t="shared" si="23"/>
        <v>26037.32199991525</v>
      </c>
      <c r="H92" s="37">
        <f t="shared" si="24"/>
        <v>2244</v>
      </c>
      <c r="I92" s="34" t="str">
        <f t="shared" si="28"/>
        <v>7y</v>
      </c>
      <c r="J92" s="36">
        <f t="shared" si="29"/>
        <v>9967.0558763861718</v>
      </c>
      <c r="K92" s="36"/>
      <c r="L92" s="36">
        <f t="shared" si="30"/>
        <v>9153.5745119356143</v>
      </c>
      <c r="M92" s="36"/>
      <c r="N92" s="36"/>
    </row>
    <row r="93" spans="1:14">
      <c r="A93" s="34" t="s">
        <v>179</v>
      </c>
      <c r="B93" s="35">
        <v>47079</v>
      </c>
      <c r="C93" s="36"/>
      <c r="D93" s="36">
        <f t="shared" si="25"/>
        <v>4740.1551811074205</v>
      </c>
      <c r="E93" s="36">
        <f t="shared" si="26"/>
        <v>3338686.0335779712</v>
      </c>
      <c r="F93" s="36">
        <f t="shared" si="27"/>
        <v>21297.166818807829</v>
      </c>
      <c r="G93" s="36">
        <f t="shared" si="23"/>
        <v>26037.32199991525</v>
      </c>
      <c r="H93" s="37">
        <f t="shared" si="24"/>
        <v>2275</v>
      </c>
      <c r="I93" s="34" t="str">
        <f t="shared" si="28"/>
        <v>7y</v>
      </c>
      <c r="J93" s="36">
        <f t="shared" si="29"/>
        <v>9967.0558763861718</v>
      </c>
      <c r="K93" s="36"/>
      <c r="L93" s="36">
        <f t="shared" si="30"/>
        <v>9153.5745119356143</v>
      </c>
      <c r="M93" s="36"/>
      <c r="N93" s="36"/>
    </row>
    <row r="94" spans="1:14">
      <c r="A94" s="34" t="s">
        <v>179</v>
      </c>
      <c r="B94" s="35">
        <v>47109</v>
      </c>
      <c r="C94" s="36"/>
      <c r="D94" s="36">
        <f t="shared" si="25"/>
        <v>5456.380697037348</v>
      </c>
      <c r="E94" s="36">
        <f t="shared" si="26"/>
        <v>3333229.6528809336</v>
      </c>
      <c r="F94" s="36">
        <f t="shared" si="27"/>
        <v>20580.941302877902</v>
      </c>
      <c r="G94" s="36">
        <f t="shared" si="23"/>
        <v>26037.32199991525</v>
      </c>
      <c r="H94" s="37">
        <f t="shared" si="24"/>
        <v>2305</v>
      </c>
      <c r="I94" s="34" t="str">
        <f t="shared" si="28"/>
        <v>7y</v>
      </c>
      <c r="J94" s="36">
        <f t="shared" si="29"/>
        <v>9967.0558763861718</v>
      </c>
      <c r="K94" s="36"/>
      <c r="L94" s="36">
        <f t="shared" si="30"/>
        <v>9153.5745119356143</v>
      </c>
      <c r="M94" s="36"/>
      <c r="N94" s="36"/>
    </row>
    <row r="95" spans="1:14">
      <c r="A95" s="34" t="s">
        <v>179</v>
      </c>
      <c r="B95" s="35">
        <v>47140</v>
      </c>
      <c r="C95" s="36"/>
      <c r="D95" s="36">
        <f t="shared" si="25"/>
        <v>4805.1057178654664</v>
      </c>
      <c r="E95" s="36">
        <f t="shared" si="26"/>
        <v>3328424.5471630683</v>
      </c>
      <c r="F95" s="36">
        <f t="shared" si="27"/>
        <v>21232.216282049783</v>
      </c>
      <c r="G95" s="36">
        <f t="shared" si="23"/>
        <v>26037.32199991525</v>
      </c>
      <c r="H95" s="37">
        <f t="shared" si="24"/>
        <v>2336</v>
      </c>
      <c r="I95" s="34" t="str">
        <f t="shared" si="28"/>
        <v>7y</v>
      </c>
      <c r="J95" s="36">
        <f t="shared" si="29"/>
        <v>9967.0558763861718</v>
      </c>
      <c r="K95" s="36"/>
      <c r="L95" s="36">
        <f t="shared" si="30"/>
        <v>9153.5745119356143</v>
      </c>
      <c r="M95" s="36"/>
      <c r="N95" s="36"/>
    </row>
    <row r="96" spans="1:14">
      <c r="A96" s="34" t="s">
        <v>179</v>
      </c>
      <c r="B96" s="35">
        <v>47171</v>
      </c>
      <c r="C96" s="36"/>
      <c r="D96" s="36">
        <f t="shared" si="25"/>
        <v>4835.7135830546104</v>
      </c>
      <c r="E96" s="36">
        <f t="shared" si="26"/>
        <v>3323588.8335800138</v>
      </c>
      <c r="F96" s="36">
        <f t="shared" si="27"/>
        <v>21201.608416860639</v>
      </c>
      <c r="G96" s="36">
        <f t="shared" si="23"/>
        <v>26037.32199991525</v>
      </c>
      <c r="H96" s="37">
        <f t="shared" si="24"/>
        <v>2367</v>
      </c>
      <c r="I96" s="34" t="str">
        <f t="shared" si="28"/>
        <v>7y</v>
      </c>
      <c r="J96" s="36">
        <f t="shared" si="29"/>
        <v>9967.0558763861718</v>
      </c>
      <c r="K96" s="36"/>
      <c r="L96" s="36">
        <f t="shared" si="30"/>
        <v>9153.5745119356143</v>
      </c>
      <c r="M96" s="36"/>
      <c r="N96" s="36"/>
    </row>
    <row r="97" spans="1:14">
      <c r="A97" s="34" t="s">
        <v>179</v>
      </c>
      <c r="B97" s="35">
        <v>47199</v>
      </c>
      <c r="C97" s="36"/>
      <c r="D97" s="36">
        <f t="shared" si="25"/>
        <v>6915.3040532905143</v>
      </c>
      <c r="E97" s="36">
        <f t="shared" si="26"/>
        <v>3316673.5295267235</v>
      </c>
      <c r="F97" s="36">
        <f t="shared" si="27"/>
        <v>19122.017946624735</v>
      </c>
      <c r="G97" s="36">
        <f t="shared" si="23"/>
        <v>26037.32199991525</v>
      </c>
      <c r="H97" s="37">
        <f t="shared" si="24"/>
        <v>2395</v>
      </c>
      <c r="I97" s="34" t="str">
        <f t="shared" si="28"/>
        <v>7y</v>
      </c>
      <c r="J97" s="36">
        <f t="shared" si="29"/>
        <v>9967.0558763861718</v>
      </c>
      <c r="K97" s="36"/>
      <c r="L97" s="36">
        <f t="shared" si="30"/>
        <v>9153.5745119356143</v>
      </c>
      <c r="M97" s="36"/>
      <c r="N97" s="36"/>
    </row>
    <row r="98" spans="1:14">
      <c r="A98" s="34" t="s">
        <v>179</v>
      </c>
      <c r="B98" s="35">
        <v>47230</v>
      </c>
      <c r="C98" s="36"/>
      <c r="D98" s="36">
        <f t="shared" si="25"/>
        <v>4910.5659556696846</v>
      </c>
      <c r="E98" s="36">
        <f t="shared" si="26"/>
        <v>3311762.9635710539</v>
      </c>
      <c r="F98" s="36">
        <f t="shared" si="27"/>
        <v>21126.756044245565</v>
      </c>
      <c r="G98" s="36">
        <f t="shared" si="23"/>
        <v>26037.32199991525</v>
      </c>
      <c r="H98" s="37">
        <f t="shared" si="24"/>
        <v>2426</v>
      </c>
      <c r="I98" s="34" t="str">
        <f t="shared" si="28"/>
        <v>7y</v>
      </c>
      <c r="J98" s="36">
        <f t="shared" si="29"/>
        <v>9967.0558763861718</v>
      </c>
      <c r="K98" s="36"/>
      <c r="L98" s="36">
        <f t="shared" si="30"/>
        <v>9153.5745119356143</v>
      </c>
      <c r="M98" s="36"/>
      <c r="N98" s="36"/>
    </row>
    <row r="99" spans="1:14">
      <c r="A99" s="34" t="s">
        <v>179</v>
      </c>
      <c r="B99" s="35">
        <v>47260</v>
      </c>
      <c r="C99" s="36"/>
      <c r="D99" s="36">
        <f t="shared" si="25"/>
        <v>5622.3448272169735</v>
      </c>
      <c r="E99" s="36">
        <f t="shared" si="26"/>
        <v>3306140.6187438369</v>
      </c>
      <c r="F99" s="36">
        <f t="shared" si="27"/>
        <v>20414.977172698276</v>
      </c>
      <c r="G99" s="36">
        <f t="shared" si="23"/>
        <v>26037.32199991525</v>
      </c>
      <c r="H99" s="37">
        <f t="shared" si="24"/>
        <v>2456</v>
      </c>
      <c r="I99" s="34" t="str">
        <f t="shared" si="28"/>
        <v>7y</v>
      </c>
      <c r="J99" s="36">
        <f t="shared" si="29"/>
        <v>9967.0558763861718</v>
      </c>
      <c r="K99" s="36"/>
      <c r="L99" s="36">
        <f t="shared" si="30"/>
        <v>9153.5745119356143</v>
      </c>
      <c r="M99" s="36"/>
      <c r="N99" s="36"/>
    </row>
    <row r="100" spans="1:14">
      <c r="A100" s="34" t="s">
        <v>179</v>
      </c>
      <c r="B100" s="35">
        <v>47291</v>
      </c>
      <c r="C100" s="36"/>
      <c r="D100" s="36">
        <f t="shared" si="25"/>
        <v>4977.6591544921794</v>
      </c>
      <c r="E100" s="36">
        <f t="shared" si="26"/>
        <v>3301162.9595893449</v>
      </c>
      <c r="F100" s="36">
        <f t="shared" si="27"/>
        <v>21059.66284542307</v>
      </c>
      <c r="G100" s="36">
        <f t="shared" si="23"/>
        <v>26037.32199991525</v>
      </c>
      <c r="H100" s="37">
        <f t="shared" si="24"/>
        <v>2487</v>
      </c>
      <c r="I100" s="34" t="str">
        <f t="shared" si="28"/>
        <v>7y</v>
      </c>
      <c r="J100" s="36">
        <f t="shared" si="29"/>
        <v>9967.0558763861718</v>
      </c>
      <c r="K100" s="36"/>
      <c r="L100" s="36">
        <f t="shared" si="30"/>
        <v>9153.5745119356143</v>
      </c>
      <c r="M100" s="36"/>
      <c r="N100" s="36"/>
    </row>
    <row r="101" spans="1:14">
      <c r="A101" s="34" t="s">
        <v>179</v>
      </c>
      <c r="B101" s="35">
        <v>47321</v>
      </c>
      <c r="C101" s="36"/>
      <c r="D101" s="36">
        <f t="shared" si="25"/>
        <v>5687.6873175151813</v>
      </c>
      <c r="E101" s="36">
        <f t="shared" si="26"/>
        <v>3295475.2722718297</v>
      </c>
      <c r="F101" s="36">
        <f t="shared" si="27"/>
        <v>20349.634682400068</v>
      </c>
      <c r="G101" s="36">
        <f t="shared" si="23"/>
        <v>26037.32199991525</v>
      </c>
      <c r="H101" s="37">
        <f t="shared" si="24"/>
        <v>2517</v>
      </c>
      <c r="I101" s="34" t="str">
        <f t="shared" si="28"/>
        <v>7y</v>
      </c>
      <c r="J101" s="36">
        <f t="shared" si="29"/>
        <v>9967.0558763861718</v>
      </c>
      <c r="K101" s="36"/>
      <c r="L101" s="36">
        <f t="shared" si="30"/>
        <v>9153.5745119356143</v>
      </c>
      <c r="M101" s="36"/>
      <c r="N101" s="36"/>
    </row>
    <row r="102" spans="1:14">
      <c r="A102" s="34" t="s">
        <v>179</v>
      </c>
      <c r="B102" s="35">
        <v>47352</v>
      </c>
      <c r="C102" s="36"/>
      <c r="D102" s="36">
        <f t="shared" si="25"/>
        <v>5045.5959505124993</v>
      </c>
      <c r="E102" s="36">
        <f t="shared" si="26"/>
        <v>3290429.676321317</v>
      </c>
      <c r="F102" s="36">
        <f t="shared" si="27"/>
        <v>20991.726049402751</v>
      </c>
      <c r="G102" s="36">
        <f t="shared" si="23"/>
        <v>26037.32199991525</v>
      </c>
      <c r="H102" s="37">
        <f t="shared" si="24"/>
        <v>2548</v>
      </c>
      <c r="I102" s="34" t="str">
        <f t="shared" si="28"/>
        <v>7y</v>
      </c>
      <c r="J102" s="36">
        <f t="shared" si="29"/>
        <v>9967.0558763861718</v>
      </c>
      <c r="K102" s="36"/>
      <c r="L102" s="36">
        <f t="shared" si="30"/>
        <v>9153.5745119356143</v>
      </c>
      <c r="M102" s="36"/>
      <c r="N102" s="36"/>
    </row>
    <row r="103" spans="1:14">
      <c r="A103" s="34" t="s">
        <v>179</v>
      </c>
      <c r="B103" s="35">
        <v>47383</v>
      </c>
      <c r="C103" s="36"/>
      <c r="D103" s="36">
        <f t="shared" si="25"/>
        <v>5077.735705539737</v>
      </c>
      <c r="E103" s="36">
        <f t="shared" si="26"/>
        <v>3285351.9406157774</v>
      </c>
      <c r="F103" s="36">
        <f t="shared" si="27"/>
        <v>20959.586294375513</v>
      </c>
      <c r="G103" s="36">
        <f t="shared" si="23"/>
        <v>26037.32199991525</v>
      </c>
      <c r="H103" s="37">
        <f t="shared" si="24"/>
        <v>2579</v>
      </c>
      <c r="I103" s="34" t="str">
        <f t="shared" ref="I103:I114" si="31">$P$5</f>
        <v>8y</v>
      </c>
      <c r="J103" s="36">
        <f t="shared" ref="J103:J114" si="32">G103*$P$9</f>
        <v>8587.1014487061475</v>
      </c>
      <c r="K103" s="36"/>
      <c r="L103" s="36">
        <f t="shared" ref="L103:L114" si="33">G103*$P$11</f>
        <v>7656.1573689854204</v>
      </c>
      <c r="M103" s="36"/>
      <c r="N103" s="36"/>
    </row>
    <row r="104" spans="1:14">
      <c r="A104" s="34" t="s">
        <v>179</v>
      </c>
      <c r="B104" s="35">
        <v>47413</v>
      </c>
      <c r="C104" s="36"/>
      <c r="D104" s="36">
        <f t="shared" si="25"/>
        <v>5785.1525029686782</v>
      </c>
      <c r="E104" s="36">
        <f t="shared" si="26"/>
        <v>3279566.7881128085</v>
      </c>
      <c r="F104" s="36">
        <f t="shared" si="27"/>
        <v>20252.169496946572</v>
      </c>
      <c r="G104" s="36">
        <f t="shared" si="23"/>
        <v>26037.32199991525</v>
      </c>
      <c r="H104" s="37">
        <f t="shared" si="24"/>
        <v>2609</v>
      </c>
      <c r="I104" s="34" t="str">
        <f t="shared" si="31"/>
        <v>8y</v>
      </c>
      <c r="J104" s="36">
        <f t="shared" si="32"/>
        <v>8587.1014487061475</v>
      </c>
      <c r="K104" s="36"/>
      <c r="L104" s="36">
        <f t="shared" si="33"/>
        <v>7656.1573689854204</v>
      </c>
      <c r="M104" s="36"/>
      <c r="N104" s="36"/>
    </row>
    <row r="105" spans="1:14">
      <c r="A105" s="34" t="s">
        <v>179</v>
      </c>
      <c r="B105" s="35">
        <v>47444</v>
      </c>
      <c r="C105" s="36"/>
      <c r="D105" s="36">
        <f t="shared" si="25"/>
        <v>5146.9308153610618</v>
      </c>
      <c r="E105" s="36">
        <f t="shared" si="26"/>
        <v>3274419.8572974475</v>
      </c>
      <c r="F105" s="36">
        <f t="shared" si="27"/>
        <v>20890.391184554188</v>
      </c>
      <c r="G105" s="36">
        <f t="shared" si="23"/>
        <v>26037.32199991525</v>
      </c>
      <c r="H105" s="37">
        <f t="shared" si="24"/>
        <v>2640</v>
      </c>
      <c r="I105" s="34" t="str">
        <f t="shared" si="31"/>
        <v>8y</v>
      </c>
      <c r="J105" s="36">
        <f t="shared" si="32"/>
        <v>8587.1014487061475</v>
      </c>
      <c r="K105" s="36"/>
      <c r="L105" s="36">
        <f t="shared" si="33"/>
        <v>7656.1573689854204</v>
      </c>
      <c r="M105" s="36"/>
      <c r="N105" s="36"/>
    </row>
    <row r="106" spans="1:14">
      <c r="A106" s="34" t="s">
        <v>179</v>
      </c>
      <c r="B106" s="35">
        <v>47474</v>
      </c>
      <c r="C106" s="36"/>
      <c r="D106" s="36">
        <f t="shared" si="25"/>
        <v>5852.5420576707111</v>
      </c>
      <c r="E106" s="36">
        <f t="shared" si="26"/>
        <v>3268567.3152397769</v>
      </c>
      <c r="F106" s="36">
        <f t="shared" si="27"/>
        <v>20184.779942244539</v>
      </c>
      <c r="G106" s="36">
        <f t="shared" si="23"/>
        <v>26037.32199991525</v>
      </c>
      <c r="H106" s="37">
        <f t="shared" si="24"/>
        <v>2670</v>
      </c>
      <c r="I106" s="34" t="str">
        <f t="shared" si="31"/>
        <v>8y</v>
      </c>
      <c r="J106" s="36">
        <f t="shared" si="32"/>
        <v>8587.1014487061475</v>
      </c>
      <c r="K106" s="36"/>
      <c r="L106" s="36">
        <f t="shared" si="33"/>
        <v>7656.1573689854204</v>
      </c>
      <c r="M106" s="36"/>
      <c r="N106" s="36"/>
    </row>
    <row r="107" spans="1:14">
      <c r="A107" s="34" t="s">
        <v>179</v>
      </c>
      <c r="B107" s="35">
        <v>47505</v>
      </c>
      <c r="C107" s="36"/>
      <c r="D107" s="36">
        <f t="shared" si="25"/>
        <v>5216.9959507851672</v>
      </c>
      <c r="E107" s="36">
        <f t="shared" si="26"/>
        <v>3263350.3192889919</v>
      </c>
      <c r="F107" s="36">
        <f t="shared" si="27"/>
        <v>20820.326049130083</v>
      </c>
      <c r="G107" s="36">
        <f t="shared" si="23"/>
        <v>26037.32199991525</v>
      </c>
      <c r="H107" s="37">
        <f t="shared" si="24"/>
        <v>2701</v>
      </c>
      <c r="I107" s="34" t="str">
        <f t="shared" si="31"/>
        <v>8y</v>
      </c>
      <c r="J107" s="36">
        <f t="shared" si="32"/>
        <v>8587.1014487061475</v>
      </c>
      <c r="K107" s="36"/>
      <c r="L107" s="36">
        <f t="shared" si="33"/>
        <v>7656.1573689854204</v>
      </c>
      <c r="M107" s="36"/>
      <c r="N107" s="36"/>
    </row>
    <row r="108" spans="1:14">
      <c r="A108" s="34" t="s">
        <v>179</v>
      </c>
      <c r="B108" s="35">
        <v>47536</v>
      </c>
      <c r="C108" s="36"/>
      <c r="D108" s="36">
        <f t="shared" si="25"/>
        <v>5250.2275003346876</v>
      </c>
      <c r="E108" s="36">
        <f t="shared" si="26"/>
        <v>3258100.091788657</v>
      </c>
      <c r="F108" s="36">
        <f t="shared" si="27"/>
        <v>20787.094499580562</v>
      </c>
      <c r="G108" s="36">
        <f t="shared" si="23"/>
        <v>26037.32199991525</v>
      </c>
      <c r="H108" s="37">
        <f t="shared" si="24"/>
        <v>2732</v>
      </c>
      <c r="I108" s="34" t="str">
        <f t="shared" si="31"/>
        <v>8y</v>
      </c>
      <c r="J108" s="36">
        <f t="shared" si="32"/>
        <v>8587.1014487061475</v>
      </c>
      <c r="K108" s="36"/>
      <c r="L108" s="36">
        <f t="shared" si="33"/>
        <v>7656.1573689854204</v>
      </c>
      <c r="M108" s="36"/>
      <c r="N108" s="36"/>
    </row>
    <row r="109" spans="1:14">
      <c r="A109" s="34" t="s">
        <v>179</v>
      </c>
      <c r="B109" s="35">
        <v>47564</v>
      </c>
      <c r="C109" s="36"/>
      <c r="D109" s="36">
        <f t="shared" si="25"/>
        <v>7292.0885951037963</v>
      </c>
      <c r="E109" s="36">
        <f t="shared" si="26"/>
        <v>3250808.0031935531</v>
      </c>
      <c r="F109" s="36">
        <f t="shared" si="27"/>
        <v>18745.233404811454</v>
      </c>
      <c r="G109" s="36">
        <f t="shared" si="23"/>
        <v>26037.32199991525</v>
      </c>
      <c r="H109" s="37">
        <f t="shared" si="24"/>
        <v>2760</v>
      </c>
      <c r="I109" s="34" t="str">
        <f t="shared" si="31"/>
        <v>8y</v>
      </c>
      <c r="J109" s="36">
        <f t="shared" si="32"/>
        <v>8587.1014487061475</v>
      </c>
      <c r="K109" s="36"/>
      <c r="L109" s="36">
        <f t="shared" si="33"/>
        <v>7656.1573689854204</v>
      </c>
      <c r="M109" s="36"/>
      <c r="N109" s="36"/>
    </row>
    <row r="110" spans="1:14">
      <c r="A110" s="34" t="s">
        <v>179</v>
      </c>
      <c r="B110" s="35">
        <v>47595</v>
      </c>
      <c r="C110" s="36"/>
      <c r="D110" s="36">
        <f t="shared" si="25"/>
        <v>5330.1203357371378</v>
      </c>
      <c r="E110" s="36">
        <f t="shared" si="26"/>
        <v>3245477.8828578158</v>
      </c>
      <c r="F110" s="36">
        <f t="shared" si="27"/>
        <v>20707.201664178112</v>
      </c>
      <c r="G110" s="36">
        <f t="shared" si="23"/>
        <v>26037.32199991525</v>
      </c>
      <c r="H110" s="37">
        <f t="shared" si="24"/>
        <v>2791</v>
      </c>
      <c r="I110" s="34" t="str">
        <f t="shared" si="31"/>
        <v>8y</v>
      </c>
      <c r="J110" s="36">
        <f t="shared" si="32"/>
        <v>8587.1014487061475</v>
      </c>
      <c r="K110" s="36"/>
      <c r="L110" s="36">
        <f t="shared" si="33"/>
        <v>7656.1573689854204</v>
      </c>
      <c r="M110" s="36"/>
      <c r="N110" s="36"/>
    </row>
    <row r="111" spans="1:14">
      <c r="A111" s="34" t="s">
        <v>179</v>
      </c>
      <c r="B111" s="35">
        <v>47625</v>
      </c>
      <c r="C111" s="36"/>
      <c r="D111" s="36">
        <f t="shared" si="25"/>
        <v>6030.9514891478939</v>
      </c>
      <c r="E111" s="36">
        <f t="shared" si="26"/>
        <v>3239446.9313686681</v>
      </c>
      <c r="F111" s="36">
        <f t="shared" si="27"/>
        <v>20006.370510767356</v>
      </c>
      <c r="G111" s="36">
        <f t="shared" si="23"/>
        <v>26037.32199991525</v>
      </c>
      <c r="H111" s="37">
        <f t="shared" si="24"/>
        <v>2821</v>
      </c>
      <c r="I111" s="34" t="str">
        <f t="shared" si="31"/>
        <v>8y</v>
      </c>
      <c r="J111" s="36">
        <f t="shared" si="32"/>
        <v>8587.1014487061475</v>
      </c>
      <c r="K111" s="36"/>
      <c r="L111" s="36">
        <f t="shared" si="33"/>
        <v>7656.1573689854204</v>
      </c>
      <c r="M111" s="36"/>
      <c r="N111" s="36"/>
    </row>
    <row r="112" spans="1:14">
      <c r="A112" s="34" t="s">
        <v>179</v>
      </c>
      <c r="B112" s="35">
        <v>47656</v>
      </c>
      <c r="C112" s="36"/>
      <c r="D112" s="36">
        <f t="shared" si="25"/>
        <v>5402.4888069504486</v>
      </c>
      <c r="E112" s="36">
        <f t="shared" si="26"/>
        <v>3234044.4425617177</v>
      </c>
      <c r="F112" s="36">
        <f t="shared" si="27"/>
        <v>20634.833192964801</v>
      </c>
      <c r="G112" s="36">
        <f t="shared" si="23"/>
        <v>26037.32199991525</v>
      </c>
      <c r="H112" s="37">
        <f t="shared" si="24"/>
        <v>2852</v>
      </c>
      <c r="I112" s="34" t="str">
        <f t="shared" si="31"/>
        <v>8y</v>
      </c>
      <c r="J112" s="36">
        <f t="shared" si="32"/>
        <v>8587.1014487061475</v>
      </c>
      <c r="K112" s="36"/>
      <c r="L112" s="36">
        <f t="shared" si="33"/>
        <v>7656.1573689854204</v>
      </c>
      <c r="M112" s="36"/>
      <c r="N112" s="36"/>
    </row>
    <row r="113" spans="1:14">
      <c r="A113" s="34" t="s">
        <v>179</v>
      </c>
      <c r="B113" s="35">
        <v>47686</v>
      </c>
      <c r="C113" s="36"/>
      <c r="D113" s="36">
        <f t="shared" si="25"/>
        <v>6101.4316005621986</v>
      </c>
      <c r="E113" s="36">
        <f t="shared" si="26"/>
        <v>3227943.0109611554</v>
      </c>
      <c r="F113" s="36">
        <f t="shared" si="27"/>
        <v>19935.890399353051</v>
      </c>
      <c r="G113" s="36">
        <f t="shared" si="23"/>
        <v>26037.32199991525</v>
      </c>
      <c r="H113" s="37">
        <f t="shared" si="24"/>
        <v>2882</v>
      </c>
      <c r="I113" s="34" t="str">
        <f t="shared" si="31"/>
        <v>8y</v>
      </c>
      <c r="J113" s="36">
        <f t="shared" si="32"/>
        <v>8587.1014487061475</v>
      </c>
      <c r="K113" s="36"/>
      <c r="L113" s="36">
        <f t="shared" si="33"/>
        <v>7656.1573689854204</v>
      </c>
      <c r="M113" s="36"/>
      <c r="N113" s="36"/>
    </row>
    <row r="114" spans="1:14">
      <c r="A114" s="34" t="s">
        <v>179</v>
      </c>
      <c r="B114" s="35">
        <v>47717</v>
      </c>
      <c r="C114" s="36"/>
      <c r="D114" s="36">
        <f t="shared" si="25"/>
        <v>5475.7672040667967</v>
      </c>
      <c r="E114" s="36">
        <f t="shared" si="26"/>
        <v>3222467.2437570887</v>
      </c>
      <c r="F114" s="36">
        <f t="shared" si="27"/>
        <v>20561.554795848453</v>
      </c>
      <c r="G114" s="36">
        <f t="shared" si="23"/>
        <v>26037.32199991525</v>
      </c>
      <c r="H114" s="37">
        <f t="shared" si="24"/>
        <v>2913</v>
      </c>
      <c r="I114" s="34" t="str">
        <f t="shared" si="31"/>
        <v>8y</v>
      </c>
      <c r="J114" s="36">
        <f t="shared" si="32"/>
        <v>8587.1014487061475</v>
      </c>
      <c r="K114" s="36"/>
      <c r="L114" s="36">
        <f t="shared" si="33"/>
        <v>7656.1573689854204</v>
      </c>
      <c r="M114" s="36"/>
      <c r="N114" s="36"/>
    </row>
    <row r="115" spans="1:14">
      <c r="A115" s="34" t="s">
        <v>179</v>
      </c>
      <c r="B115" s="35">
        <v>47748</v>
      </c>
      <c r="C115" s="36"/>
      <c r="D115" s="36">
        <f t="shared" si="25"/>
        <v>5510.6470910516036</v>
      </c>
      <c r="E115" s="36">
        <f t="shared" si="26"/>
        <v>3216956.5966660371</v>
      </c>
      <c r="F115" s="36">
        <f t="shared" si="27"/>
        <v>20526.674908863646</v>
      </c>
      <c r="G115" s="36">
        <f t="shared" si="23"/>
        <v>26037.32199991525</v>
      </c>
      <c r="H115" s="37">
        <f t="shared" si="24"/>
        <v>2944</v>
      </c>
      <c r="I115" s="34" t="str">
        <f t="shared" ref="I115:I126" si="34">$Q$5</f>
        <v>9y</v>
      </c>
      <c r="J115" s="36">
        <f t="shared" ref="J115:J126" si="35">G115*$Q$9</f>
        <v>7395.6535290806778</v>
      </c>
      <c r="K115" s="36"/>
      <c r="L115" s="36">
        <f t="shared" ref="L115:L126" si="36">G115*$Q$11</f>
        <v>6400.0501449315343</v>
      </c>
      <c r="M115" s="36"/>
      <c r="N115" s="36"/>
    </row>
    <row r="116" spans="1:14">
      <c r="A116" s="34" t="s">
        <v>179</v>
      </c>
      <c r="B116" s="35">
        <v>47778</v>
      </c>
      <c r="C116" s="36"/>
      <c r="D116" s="36">
        <f t="shared" si="25"/>
        <v>6206.7676369054352</v>
      </c>
      <c r="E116" s="36">
        <f t="shared" si="26"/>
        <v>3210749.8290291317</v>
      </c>
      <c r="F116" s="36">
        <f t="shared" si="27"/>
        <v>19830.554363009815</v>
      </c>
      <c r="G116" s="36">
        <f t="shared" si="23"/>
        <v>26037.32199991525</v>
      </c>
      <c r="H116" s="37">
        <f t="shared" si="24"/>
        <v>2974</v>
      </c>
      <c r="I116" s="34" t="str">
        <f t="shared" si="34"/>
        <v>9y</v>
      </c>
      <c r="J116" s="36">
        <f t="shared" si="35"/>
        <v>7395.6535290806778</v>
      </c>
      <c r="K116" s="36"/>
      <c r="L116" s="36">
        <f t="shared" si="36"/>
        <v>6400.0501449315343</v>
      </c>
      <c r="M116" s="36"/>
      <c r="N116" s="36"/>
    </row>
    <row r="117" spans="1:14">
      <c r="A117" s="34" t="s">
        <v>179</v>
      </c>
      <c r="B117" s="35">
        <v>47809</v>
      </c>
      <c r="C117" s="36"/>
      <c r="D117" s="36">
        <f t="shared" si="25"/>
        <v>5585.2854177433837</v>
      </c>
      <c r="E117" s="36">
        <f t="shared" si="26"/>
        <v>3205164.5436113882</v>
      </c>
      <c r="F117" s="36">
        <f t="shared" si="27"/>
        <v>20452.036582171866</v>
      </c>
      <c r="G117" s="36">
        <f t="shared" si="23"/>
        <v>26037.32199991525</v>
      </c>
      <c r="H117" s="37">
        <f t="shared" si="24"/>
        <v>3005</v>
      </c>
      <c r="I117" s="34" t="str">
        <f t="shared" si="34"/>
        <v>9y</v>
      </c>
      <c r="J117" s="36">
        <f t="shared" si="35"/>
        <v>7395.6535290806778</v>
      </c>
      <c r="K117" s="36"/>
      <c r="L117" s="36">
        <f t="shared" si="36"/>
        <v>6400.0501449315343</v>
      </c>
      <c r="M117" s="36"/>
      <c r="N117" s="36"/>
    </row>
    <row r="118" spans="1:14">
      <c r="A118" s="34" t="s">
        <v>179</v>
      </c>
      <c r="B118" s="35">
        <v>47839</v>
      </c>
      <c r="C118" s="36"/>
      <c r="D118" s="36">
        <f t="shared" si="25"/>
        <v>6279.4583749135454</v>
      </c>
      <c r="E118" s="36">
        <f t="shared" si="26"/>
        <v>3198885.0852364749</v>
      </c>
      <c r="F118" s="36">
        <f t="shared" si="27"/>
        <v>19757.863625001704</v>
      </c>
      <c r="G118" s="36">
        <f t="shared" si="23"/>
        <v>26037.32199991525</v>
      </c>
      <c r="H118" s="37">
        <f t="shared" si="24"/>
        <v>3035</v>
      </c>
      <c r="I118" s="34" t="str">
        <f t="shared" si="34"/>
        <v>9y</v>
      </c>
      <c r="J118" s="36">
        <f t="shared" si="35"/>
        <v>7395.6535290806778</v>
      </c>
      <c r="K118" s="36"/>
      <c r="L118" s="36">
        <f t="shared" si="36"/>
        <v>6400.0501449315343</v>
      </c>
      <c r="M118" s="36"/>
      <c r="N118" s="36"/>
    </row>
    <row r="119" spans="1:14">
      <c r="A119" s="34" t="s">
        <v>179</v>
      </c>
      <c r="B119" s="35">
        <v>47870</v>
      </c>
      <c r="C119" s="36"/>
      <c r="D119" s="36">
        <f t="shared" si="25"/>
        <v>5660.8622103952403</v>
      </c>
      <c r="E119" s="36">
        <f t="shared" si="26"/>
        <v>3193224.2230260796</v>
      </c>
      <c r="F119" s="36">
        <f t="shared" si="27"/>
        <v>20376.45978952001</v>
      </c>
      <c r="G119" s="36">
        <f t="shared" si="23"/>
        <v>26037.32199991525</v>
      </c>
      <c r="H119" s="37">
        <f t="shared" si="24"/>
        <v>3066</v>
      </c>
      <c r="I119" s="34" t="str">
        <f t="shared" si="34"/>
        <v>9y</v>
      </c>
      <c r="J119" s="36">
        <f t="shared" si="35"/>
        <v>7395.6535290806778</v>
      </c>
      <c r="K119" s="36"/>
      <c r="L119" s="36">
        <f t="shared" si="36"/>
        <v>6400.0501449315343</v>
      </c>
      <c r="M119" s="36"/>
      <c r="N119" s="36"/>
    </row>
    <row r="120" spans="1:14">
      <c r="A120" s="34" t="s">
        <v>179</v>
      </c>
      <c r="B120" s="35">
        <v>47901</v>
      </c>
      <c r="C120" s="36"/>
      <c r="D120" s="36">
        <f t="shared" si="25"/>
        <v>5696.9211272148823</v>
      </c>
      <c r="E120" s="36">
        <f t="shared" si="26"/>
        <v>3187527.3018988646</v>
      </c>
      <c r="F120" s="36">
        <f t="shared" si="27"/>
        <v>20340.400872700367</v>
      </c>
      <c r="G120" s="36">
        <f t="shared" si="23"/>
        <v>26037.32199991525</v>
      </c>
      <c r="H120" s="37">
        <f t="shared" si="24"/>
        <v>3097</v>
      </c>
      <c r="I120" s="34" t="str">
        <f t="shared" si="34"/>
        <v>9y</v>
      </c>
      <c r="J120" s="36">
        <f t="shared" si="35"/>
        <v>7395.6535290806778</v>
      </c>
      <c r="K120" s="36"/>
      <c r="L120" s="36">
        <f t="shared" si="36"/>
        <v>6400.0501449315343</v>
      </c>
      <c r="M120" s="36"/>
      <c r="N120" s="36"/>
    </row>
    <row r="121" spans="1:14">
      <c r="A121" s="34" t="s">
        <v>179</v>
      </c>
      <c r="B121" s="35">
        <v>47929</v>
      </c>
      <c r="C121" s="36"/>
      <c r="D121" s="36">
        <f t="shared" si="25"/>
        <v>7698.1238246067151</v>
      </c>
      <c r="E121" s="36">
        <f t="shared" si="26"/>
        <v>3179829.1780742579</v>
      </c>
      <c r="F121" s="36">
        <f t="shared" si="27"/>
        <v>18339.198175308535</v>
      </c>
      <c r="G121" s="36">
        <f t="shared" si="23"/>
        <v>26037.32199991525</v>
      </c>
      <c r="H121" s="37">
        <f t="shared" si="24"/>
        <v>3125</v>
      </c>
      <c r="I121" s="34" t="str">
        <f t="shared" si="34"/>
        <v>9y</v>
      </c>
      <c r="J121" s="36">
        <f t="shared" si="35"/>
        <v>7395.6535290806778</v>
      </c>
      <c r="K121" s="36"/>
      <c r="L121" s="36">
        <f t="shared" si="36"/>
        <v>6400.0501449315343</v>
      </c>
      <c r="M121" s="36"/>
      <c r="N121" s="36"/>
    </row>
    <row r="122" spans="1:14">
      <c r="A122" s="34" t="s">
        <v>179</v>
      </c>
      <c r="B122" s="35">
        <v>47960</v>
      </c>
      <c r="C122" s="36"/>
      <c r="D122" s="36">
        <f t="shared" si="25"/>
        <v>5782.2457286203207</v>
      </c>
      <c r="E122" s="36">
        <f t="shared" si="26"/>
        <v>3174046.9323456376</v>
      </c>
      <c r="F122" s="36">
        <f t="shared" si="27"/>
        <v>20255.076271294929</v>
      </c>
      <c r="G122" s="36">
        <f t="shared" si="23"/>
        <v>26037.32199991525</v>
      </c>
      <c r="H122" s="37">
        <f t="shared" si="24"/>
        <v>3156</v>
      </c>
      <c r="I122" s="34" t="str">
        <f t="shared" si="34"/>
        <v>9y</v>
      </c>
      <c r="J122" s="36">
        <f t="shared" si="35"/>
        <v>7395.6535290806778</v>
      </c>
      <c r="K122" s="36"/>
      <c r="L122" s="36">
        <f t="shared" si="36"/>
        <v>6400.0501449315343</v>
      </c>
      <c r="M122" s="36"/>
      <c r="N122" s="36"/>
    </row>
    <row r="123" spans="1:14">
      <c r="A123" s="34" t="s">
        <v>179</v>
      </c>
      <c r="B123" s="35">
        <v>47990</v>
      </c>
      <c r="C123" s="36"/>
      <c r="D123" s="36">
        <f t="shared" si="25"/>
        <v>6471.2792662777611</v>
      </c>
      <c r="E123" s="36">
        <f t="shared" si="26"/>
        <v>3167575.6530793598</v>
      </c>
      <c r="F123" s="36">
        <f t="shared" si="27"/>
        <v>19566.042733637489</v>
      </c>
      <c r="G123" s="36">
        <f t="shared" si="23"/>
        <v>26037.32199991525</v>
      </c>
      <c r="H123" s="37">
        <f t="shared" si="24"/>
        <v>3186</v>
      </c>
      <c r="I123" s="34" t="str">
        <f t="shared" si="34"/>
        <v>9y</v>
      </c>
      <c r="J123" s="36">
        <f t="shared" si="35"/>
        <v>7395.6535290806778</v>
      </c>
      <c r="K123" s="36"/>
      <c r="L123" s="36">
        <f t="shared" si="36"/>
        <v>6400.0501449315343</v>
      </c>
      <c r="M123" s="36"/>
      <c r="N123" s="36"/>
    </row>
    <row r="124" spans="1:14">
      <c r="A124" s="34" t="s">
        <v>179</v>
      </c>
      <c r="B124" s="35">
        <v>48021</v>
      </c>
      <c r="C124" s="36"/>
      <c r="D124" s="36">
        <f t="shared" si="25"/>
        <v>5860.2990042727542</v>
      </c>
      <c r="E124" s="36">
        <f t="shared" si="26"/>
        <v>3161715.3540750872</v>
      </c>
      <c r="F124" s="36">
        <f t="shared" si="27"/>
        <v>20177.022995642496</v>
      </c>
      <c r="G124" s="36">
        <f t="shared" si="23"/>
        <v>26037.32199991525</v>
      </c>
      <c r="H124" s="37">
        <f t="shared" si="24"/>
        <v>3217</v>
      </c>
      <c r="I124" s="34" t="str">
        <f t="shared" si="34"/>
        <v>9y</v>
      </c>
      <c r="J124" s="36">
        <f t="shared" si="35"/>
        <v>7395.6535290806778</v>
      </c>
      <c r="K124" s="36"/>
      <c r="L124" s="36">
        <f t="shared" si="36"/>
        <v>6400.0501449315343</v>
      </c>
      <c r="M124" s="36"/>
      <c r="N124" s="36"/>
    </row>
    <row r="125" spans="1:14">
      <c r="A125" s="34" t="s">
        <v>179</v>
      </c>
      <c r="B125" s="35">
        <v>48051</v>
      </c>
      <c r="C125" s="36"/>
      <c r="D125" s="36">
        <f t="shared" si="25"/>
        <v>6547.2958446578632</v>
      </c>
      <c r="E125" s="36">
        <f t="shared" si="26"/>
        <v>3155168.0582304294</v>
      </c>
      <c r="F125" s="36">
        <f t="shared" si="27"/>
        <v>19490.026155257387</v>
      </c>
      <c r="G125" s="36">
        <f t="shared" si="23"/>
        <v>26037.32199991525</v>
      </c>
      <c r="H125" s="37">
        <f t="shared" si="24"/>
        <v>3247</v>
      </c>
      <c r="I125" s="34" t="str">
        <f t="shared" si="34"/>
        <v>9y</v>
      </c>
      <c r="J125" s="36">
        <f t="shared" si="35"/>
        <v>7395.6535290806778</v>
      </c>
      <c r="K125" s="36"/>
      <c r="L125" s="36">
        <f t="shared" si="36"/>
        <v>6400.0501449315343</v>
      </c>
      <c r="M125" s="36"/>
      <c r="N125" s="36"/>
    </row>
    <row r="126" spans="1:14">
      <c r="A126" s="34" t="s">
        <v>179</v>
      </c>
      <c r="B126" s="35">
        <v>48082</v>
      </c>
      <c r="C126" s="36"/>
      <c r="D126" s="36">
        <f t="shared" si="25"/>
        <v>5939.3336837899151</v>
      </c>
      <c r="E126" s="36">
        <f t="shared" si="26"/>
        <v>3149228.7245466397</v>
      </c>
      <c r="F126" s="36">
        <f t="shared" si="27"/>
        <v>20097.988316125335</v>
      </c>
      <c r="G126" s="36">
        <f t="shared" si="23"/>
        <v>26037.32199991525</v>
      </c>
      <c r="H126" s="37">
        <f t="shared" si="24"/>
        <v>3278</v>
      </c>
      <c r="I126" s="34" t="str">
        <f t="shared" si="34"/>
        <v>9y</v>
      </c>
      <c r="J126" s="36">
        <f t="shared" si="35"/>
        <v>7395.6535290806778</v>
      </c>
      <c r="K126" s="36"/>
      <c r="L126" s="36">
        <f t="shared" si="36"/>
        <v>6400.0501449315343</v>
      </c>
      <c r="M126" s="36"/>
      <c r="N126" s="36"/>
    </row>
    <row r="127" spans="1:14">
      <c r="A127" s="34" t="s">
        <v>179</v>
      </c>
      <c r="B127" s="35">
        <v>48113</v>
      </c>
      <c r="C127" s="36"/>
      <c r="D127" s="36">
        <f t="shared" si="25"/>
        <v>5977.1664257482989</v>
      </c>
      <c r="E127" s="36">
        <f t="shared" si="26"/>
        <v>3143251.5581208915</v>
      </c>
      <c r="F127" s="36">
        <f t="shared" si="27"/>
        <v>20060.155574166951</v>
      </c>
      <c r="G127" s="36">
        <f t="shared" si="23"/>
        <v>26037.32199991525</v>
      </c>
      <c r="H127" s="37">
        <f t="shared" si="24"/>
        <v>3309</v>
      </c>
      <c r="I127" s="34" t="str">
        <f t="shared" ref="I127:I138" si="37">$R$5</f>
        <v>10y</v>
      </c>
      <c r="J127" s="36">
        <f t="shared" ref="J127:J138" si="38">G127*$R$9</f>
        <v>6336.1138572701102</v>
      </c>
      <c r="K127" s="36"/>
      <c r="L127" s="36">
        <f t="shared" ref="L127:L138" si="39">G127*$R$11</f>
        <v>5323.5251164868714</v>
      </c>
      <c r="M127" s="36"/>
      <c r="N127" s="36"/>
    </row>
    <row r="128" spans="1:14">
      <c r="A128" s="34" t="s">
        <v>179</v>
      </c>
      <c r="B128" s="35">
        <v>48143</v>
      </c>
      <c r="C128" s="36"/>
      <c r="D128" s="36">
        <f t="shared" si="25"/>
        <v>6661.1137649234552</v>
      </c>
      <c r="E128" s="36">
        <f t="shared" si="26"/>
        <v>3136590.4443559679</v>
      </c>
      <c r="F128" s="36">
        <f t="shared" si="27"/>
        <v>19376.208234991795</v>
      </c>
      <c r="G128" s="36">
        <f t="shared" si="23"/>
        <v>26037.32199991525</v>
      </c>
      <c r="H128" s="37">
        <f t="shared" si="24"/>
        <v>3339</v>
      </c>
      <c r="I128" s="34" t="str">
        <f t="shared" si="37"/>
        <v>10y</v>
      </c>
      <c r="J128" s="36">
        <f t="shared" si="38"/>
        <v>6336.1138572701102</v>
      </c>
      <c r="K128" s="36"/>
      <c r="L128" s="36">
        <f t="shared" si="39"/>
        <v>5323.5251164868714</v>
      </c>
      <c r="M128" s="36"/>
      <c r="N128" s="36"/>
    </row>
    <row r="129" spans="1:14">
      <c r="A129" s="34" t="s">
        <v>179</v>
      </c>
      <c r="B129" s="35">
        <v>48174</v>
      </c>
      <c r="C129" s="36"/>
      <c r="D129" s="36">
        <f t="shared" si="25"/>
        <v>6057.6705392916192</v>
      </c>
      <c r="E129" s="36">
        <f t="shared" si="26"/>
        <v>3130532.7738166763</v>
      </c>
      <c r="F129" s="36">
        <f t="shared" si="27"/>
        <v>19979.651460623631</v>
      </c>
      <c r="G129" s="36">
        <f t="shared" si="23"/>
        <v>26037.32199991525</v>
      </c>
      <c r="H129" s="37">
        <f t="shared" si="24"/>
        <v>3370</v>
      </c>
      <c r="I129" s="34" t="str">
        <f t="shared" si="37"/>
        <v>10y</v>
      </c>
      <c r="J129" s="36">
        <f t="shared" si="38"/>
        <v>6336.1138572701102</v>
      </c>
      <c r="K129" s="36"/>
      <c r="L129" s="36">
        <f t="shared" si="39"/>
        <v>5323.5251164868714</v>
      </c>
      <c r="M129" s="36"/>
      <c r="N129" s="36"/>
    </row>
    <row r="130" spans="1:14">
      <c r="A130" s="34" t="s">
        <v>179</v>
      </c>
      <c r="B130" s="35">
        <v>48204</v>
      </c>
      <c r="C130" s="36"/>
      <c r="D130" s="36">
        <f t="shared" si="25"/>
        <v>6739.5172298124526</v>
      </c>
      <c r="E130" s="36">
        <f t="shared" si="26"/>
        <v>3123793.2565868637</v>
      </c>
      <c r="F130" s="36">
        <f t="shared" si="27"/>
        <v>19297.804770102797</v>
      </c>
      <c r="G130" s="36">
        <f t="shared" si="23"/>
        <v>26037.32199991525</v>
      </c>
      <c r="H130" s="37">
        <f t="shared" si="24"/>
        <v>3400</v>
      </c>
      <c r="I130" s="34" t="str">
        <f t="shared" si="37"/>
        <v>10y</v>
      </c>
      <c r="J130" s="36">
        <f t="shared" si="38"/>
        <v>6336.1138572701102</v>
      </c>
      <c r="K130" s="36"/>
      <c r="L130" s="36">
        <f t="shared" si="39"/>
        <v>5323.5251164868714</v>
      </c>
      <c r="M130" s="36"/>
      <c r="N130" s="36"/>
    </row>
    <row r="131" spans="1:14">
      <c r="A131" s="34" t="s">
        <v>179</v>
      </c>
      <c r="B131" s="35">
        <v>48235</v>
      </c>
      <c r="C131" s="36"/>
      <c r="D131" s="36">
        <f t="shared" si="25"/>
        <v>6139.1868723413936</v>
      </c>
      <c r="E131" s="36">
        <f t="shared" si="26"/>
        <v>3117654.0697145225</v>
      </c>
      <c r="F131" s="36">
        <f t="shared" si="27"/>
        <v>19898.135127573856</v>
      </c>
      <c r="G131" s="36">
        <f t="shared" si="23"/>
        <v>26037.32199991525</v>
      </c>
      <c r="H131" s="37">
        <f t="shared" si="24"/>
        <v>3431</v>
      </c>
      <c r="I131" s="34" t="str">
        <f t="shared" si="37"/>
        <v>10y</v>
      </c>
      <c r="J131" s="36">
        <f t="shared" si="38"/>
        <v>6336.1138572701102</v>
      </c>
      <c r="K131" s="36"/>
      <c r="L131" s="36">
        <f t="shared" si="39"/>
        <v>5323.5251164868714</v>
      </c>
      <c r="M131" s="36"/>
      <c r="N131" s="36"/>
    </row>
    <row r="132" spans="1:14">
      <c r="A132" s="34" t="s">
        <v>179</v>
      </c>
      <c r="B132" s="35">
        <v>48266</v>
      </c>
      <c r="C132" s="36"/>
      <c r="D132" s="36">
        <f t="shared" si="25"/>
        <v>6178.2926517337037</v>
      </c>
      <c r="E132" s="36">
        <f t="shared" si="26"/>
        <v>3111475.7770627886</v>
      </c>
      <c r="F132" s="36">
        <f t="shared" si="27"/>
        <v>19859.029348181546</v>
      </c>
      <c r="G132" s="36">
        <f t="shared" si="23"/>
        <v>26037.32199991525</v>
      </c>
      <c r="H132" s="37">
        <f t="shared" si="24"/>
        <v>3462</v>
      </c>
      <c r="I132" s="34" t="str">
        <f t="shared" si="37"/>
        <v>10y</v>
      </c>
      <c r="J132" s="36">
        <f t="shared" si="38"/>
        <v>6336.1138572701102</v>
      </c>
      <c r="K132" s="36"/>
      <c r="L132" s="36">
        <f t="shared" si="39"/>
        <v>5323.5251164868714</v>
      </c>
      <c r="M132" s="36"/>
      <c r="N132" s="36"/>
    </row>
    <row r="133" spans="1:14">
      <c r="A133" s="34" t="s">
        <v>179</v>
      </c>
      <c r="B133" s="35">
        <v>48295</v>
      </c>
      <c r="C133" s="36"/>
      <c r="D133" s="36">
        <f t="shared" si="25"/>
        <v>7496.3362050890428</v>
      </c>
      <c r="E133" s="36">
        <f t="shared" si="26"/>
        <v>3103979.4408576996</v>
      </c>
      <c r="F133" s="36">
        <f t="shared" si="27"/>
        <v>18540.985794826207</v>
      </c>
      <c r="G133" s="36">
        <f t="shared" si="23"/>
        <v>26037.32199991525</v>
      </c>
      <c r="H133" s="37">
        <f t="shared" si="24"/>
        <v>3491</v>
      </c>
      <c r="I133" s="34" t="str">
        <f t="shared" si="37"/>
        <v>10y</v>
      </c>
      <c r="J133" s="36">
        <f t="shared" si="38"/>
        <v>6336.1138572701102</v>
      </c>
      <c r="K133" s="36"/>
      <c r="L133" s="36">
        <f t="shared" si="39"/>
        <v>5323.5251164868714</v>
      </c>
      <c r="M133" s="36"/>
      <c r="N133" s="36"/>
    </row>
    <row r="134" spans="1:14">
      <c r="A134" s="34" t="s">
        <v>179</v>
      </c>
      <c r="B134" s="35">
        <v>48326</v>
      </c>
      <c r="C134" s="36"/>
      <c r="D134" s="36">
        <f t="shared" si="25"/>
        <v>6265.3981643148363</v>
      </c>
      <c r="E134" s="36">
        <f t="shared" si="26"/>
        <v>3097714.0426933849</v>
      </c>
      <c r="F134" s="36">
        <f t="shared" si="27"/>
        <v>19771.923835600413</v>
      </c>
      <c r="G134" s="36">
        <f t="shared" si="23"/>
        <v>26037.32199991525</v>
      </c>
      <c r="H134" s="37">
        <f t="shared" si="24"/>
        <v>3522</v>
      </c>
      <c r="I134" s="34" t="str">
        <f t="shared" si="37"/>
        <v>10y</v>
      </c>
      <c r="J134" s="36">
        <f t="shared" si="38"/>
        <v>6336.1138572701102</v>
      </c>
      <c r="K134" s="36"/>
      <c r="L134" s="36">
        <f t="shared" si="39"/>
        <v>5323.5251164868714</v>
      </c>
      <c r="M134" s="36"/>
      <c r="N134" s="36"/>
    </row>
    <row r="135" spans="1:14">
      <c r="A135" s="34" t="s">
        <v>179</v>
      </c>
      <c r="B135" s="35">
        <v>48356</v>
      </c>
      <c r="C135" s="36"/>
      <c r="D135" s="36">
        <f t="shared" si="25"/>
        <v>6941.8244764628798</v>
      </c>
      <c r="E135" s="36">
        <f t="shared" si="26"/>
        <v>3090772.2182169221</v>
      </c>
      <c r="F135" s="36">
        <f t="shared" si="27"/>
        <v>19095.49752345237</v>
      </c>
      <c r="G135" s="36">
        <f t="shared" si="23"/>
        <v>26037.32199991525</v>
      </c>
      <c r="H135" s="37">
        <f t="shared" si="24"/>
        <v>3552</v>
      </c>
      <c r="I135" s="34" t="str">
        <f t="shared" si="37"/>
        <v>10y</v>
      </c>
      <c r="J135" s="36">
        <f t="shared" si="38"/>
        <v>6336.1138572701102</v>
      </c>
      <c r="K135" s="36"/>
      <c r="L135" s="36">
        <f t="shared" si="39"/>
        <v>5323.5251164868714</v>
      </c>
      <c r="M135" s="36"/>
      <c r="N135" s="36"/>
    </row>
    <row r="136" spans="1:14">
      <c r="A136" s="34" t="s">
        <v>179</v>
      </c>
      <c r="B136" s="35">
        <v>48387</v>
      </c>
      <c r="C136" s="36"/>
      <c r="D136" s="36">
        <f t="shared" si="25"/>
        <v>6349.5263633280083</v>
      </c>
      <c r="E136" s="36">
        <f t="shared" si="26"/>
        <v>3084422.691853594</v>
      </c>
      <c r="F136" s="36">
        <f t="shared" si="27"/>
        <v>19687.795636587241</v>
      </c>
      <c r="G136" s="36">
        <f t="shared" si="23"/>
        <v>26037.32199991525</v>
      </c>
      <c r="H136" s="37">
        <f t="shared" si="24"/>
        <v>3583</v>
      </c>
      <c r="I136" s="34" t="str">
        <f t="shared" si="37"/>
        <v>10y</v>
      </c>
      <c r="J136" s="36">
        <f t="shared" si="38"/>
        <v>6336.1138572701102</v>
      </c>
      <c r="K136" s="36"/>
      <c r="L136" s="36">
        <f t="shared" si="39"/>
        <v>5323.5251164868714</v>
      </c>
      <c r="M136" s="36"/>
      <c r="N136" s="36"/>
    </row>
    <row r="137" spans="1:14">
      <c r="A137" s="34" t="s">
        <v>179</v>
      </c>
      <c r="B137" s="35">
        <v>48417</v>
      </c>
      <c r="C137" s="36"/>
      <c r="D137" s="36">
        <f t="shared" si="25"/>
        <v>7023.7574610917254</v>
      </c>
      <c r="E137" s="36">
        <f t="shared" si="26"/>
        <v>3077398.9343925025</v>
      </c>
      <c r="F137" s="36">
        <f t="shared" si="27"/>
        <v>19013.564538823524</v>
      </c>
      <c r="G137" s="36">
        <f t="shared" si="23"/>
        <v>26037.32199991525</v>
      </c>
      <c r="H137" s="37">
        <f t="shared" si="24"/>
        <v>3613</v>
      </c>
      <c r="I137" s="34" t="str">
        <f t="shared" si="37"/>
        <v>10y</v>
      </c>
      <c r="J137" s="36">
        <f t="shared" si="38"/>
        <v>6336.1138572701102</v>
      </c>
      <c r="K137" s="36"/>
      <c r="L137" s="36">
        <f t="shared" si="39"/>
        <v>5323.5251164868714</v>
      </c>
      <c r="M137" s="36"/>
      <c r="N137" s="36"/>
    </row>
    <row r="138" spans="1:14">
      <c r="A138" s="34" t="s">
        <v>179</v>
      </c>
      <c r="B138" s="35">
        <v>48448</v>
      </c>
      <c r="C138" s="36"/>
      <c r="D138" s="36">
        <f t="shared" si="25"/>
        <v>6434.7123493328691</v>
      </c>
      <c r="E138" s="36">
        <f t="shared" si="26"/>
        <v>3070964.2220431697</v>
      </c>
      <c r="F138" s="36">
        <f t="shared" si="27"/>
        <v>19602.609650582381</v>
      </c>
      <c r="G138" s="36">
        <f t="shared" si="23"/>
        <v>26037.32199991525</v>
      </c>
      <c r="H138" s="37">
        <f t="shared" si="24"/>
        <v>3644</v>
      </c>
      <c r="I138" s="34" t="str">
        <f t="shared" si="37"/>
        <v>10y</v>
      </c>
      <c r="J138" s="36">
        <f t="shared" si="38"/>
        <v>6336.1138572701102</v>
      </c>
      <c r="K138" s="36"/>
      <c r="L138" s="36">
        <f t="shared" si="39"/>
        <v>5323.5251164868714</v>
      </c>
      <c r="M138" s="36"/>
      <c r="N138" s="36"/>
    </row>
    <row r="139" spans="1:14">
      <c r="A139" s="34" t="s">
        <v>179</v>
      </c>
      <c r="B139" s="35">
        <v>48479</v>
      </c>
      <c r="C139" s="36"/>
      <c r="D139" s="36">
        <f t="shared" si="25"/>
        <v>6475.7005855306779</v>
      </c>
      <c r="E139" s="36">
        <f t="shared" si="26"/>
        <v>3064488.5214576391</v>
      </c>
      <c r="F139" s="36">
        <f t="shared" si="27"/>
        <v>19561.621414384572</v>
      </c>
      <c r="G139" s="36">
        <f t="shared" si="23"/>
        <v>26037.32199991525</v>
      </c>
      <c r="H139" s="37">
        <f t="shared" si="24"/>
        <v>3675</v>
      </c>
      <c r="I139" s="34" t="str">
        <f t="shared" ref="I139:I170" si="40">$S$5</f>
        <v>15y</v>
      </c>
      <c r="J139" s="36">
        <f t="shared" ref="J139:J170" si="41">G139*$S$9</f>
        <v>4015.9748880608195</v>
      </c>
      <c r="K139" s="36"/>
      <c r="L139" s="36">
        <f t="shared" ref="L139:L170" si="42">G139*$S$11</f>
        <v>3097.2502586916089</v>
      </c>
      <c r="M139" s="36"/>
      <c r="N139" s="36"/>
    </row>
    <row r="140" spans="1:14">
      <c r="A140" s="34" t="s">
        <v>179</v>
      </c>
      <c r="B140" s="35">
        <v>48509</v>
      </c>
      <c r="C140" s="36"/>
      <c r="D140" s="36">
        <f t="shared" si="25"/>
        <v>7146.6393333955602</v>
      </c>
      <c r="E140" s="36">
        <f t="shared" si="26"/>
        <v>3057341.8821242433</v>
      </c>
      <c r="F140" s="36">
        <f t="shared" si="27"/>
        <v>18890.68266651969</v>
      </c>
      <c r="G140" s="36">
        <f t="shared" si="23"/>
        <v>26037.32199991525</v>
      </c>
      <c r="H140" s="37">
        <f t="shared" si="24"/>
        <v>3705</v>
      </c>
      <c r="I140" s="34" t="str">
        <f t="shared" si="40"/>
        <v>15y</v>
      </c>
      <c r="J140" s="36">
        <f t="shared" si="41"/>
        <v>4015.9748880608195</v>
      </c>
      <c r="K140" s="36"/>
      <c r="L140" s="36">
        <f t="shared" si="42"/>
        <v>3097.2502586916089</v>
      </c>
      <c r="M140" s="36"/>
      <c r="N140" s="36"/>
    </row>
    <row r="141" spans="1:14">
      <c r="A141" s="34" t="s">
        <v>179</v>
      </c>
      <c r="B141" s="35">
        <v>48540</v>
      </c>
      <c r="C141" s="36"/>
      <c r="D141" s="36">
        <f t="shared" si="25"/>
        <v>6562.4730247402767</v>
      </c>
      <c r="E141" s="36">
        <f t="shared" si="26"/>
        <v>3050779.409099503</v>
      </c>
      <c r="F141" s="36">
        <f t="shared" si="27"/>
        <v>19474.848975174973</v>
      </c>
      <c r="G141" s="36">
        <f t="shared" si="23"/>
        <v>26037.32199991525</v>
      </c>
      <c r="H141" s="37">
        <f t="shared" si="24"/>
        <v>3736</v>
      </c>
      <c r="I141" s="34" t="str">
        <f t="shared" si="40"/>
        <v>15y</v>
      </c>
      <c r="J141" s="36">
        <f t="shared" si="41"/>
        <v>4015.9748880608195</v>
      </c>
      <c r="K141" s="36"/>
      <c r="L141" s="36">
        <f t="shared" si="42"/>
        <v>3097.2502586916089</v>
      </c>
      <c r="M141" s="36"/>
      <c r="N141" s="36"/>
    </row>
    <row r="142" spans="1:14">
      <c r="A142" s="34" t="s">
        <v>179</v>
      </c>
      <c r="B142" s="35">
        <v>48570</v>
      </c>
      <c r="C142" s="36"/>
      <c r="D142" s="36">
        <f t="shared" si="25"/>
        <v>7231.1475602607788</v>
      </c>
      <c r="E142" s="36">
        <f t="shared" si="26"/>
        <v>3043548.2615392422</v>
      </c>
      <c r="F142" s="36">
        <f t="shared" si="27"/>
        <v>18806.174439654471</v>
      </c>
      <c r="G142" s="36">
        <f t="shared" si="23"/>
        <v>26037.32199991525</v>
      </c>
      <c r="H142" s="37">
        <f t="shared" si="24"/>
        <v>3766</v>
      </c>
      <c r="I142" s="34" t="str">
        <f t="shared" si="40"/>
        <v>15y</v>
      </c>
      <c r="J142" s="36">
        <f t="shared" si="41"/>
        <v>4015.9748880608195</v>
      </c>
      <c r="K142" s="36"/>
      <c r="L142" s="36">
        <f t="shared" si="42"/>
        <v>3097.2502586916089</v>
      </c>
      <c r="M142" s="36"/>
      <c r="N142" s="36"/>
    </row>
    <row r="143" spans="1:14">
      <c r="A143" s="34" t="s">
        <v>179</v>
      </c>
      <c r="B143" s="35">
        <v>48601</v>
      </c>
      <c r="C143" s="36"/>
      <c r="D143" s="36">
        <f t="shared" si="25"/>
        <v>6650.3364983296669</v>
      </c>
      <c r="E143" s="36">
        <f t="shared" si="26"/>
        <v>3036897.9250409123</v>
      </c>
      <c r="F143" s="36">
        <f t="shared" si="27"/>
        <v>19386.985501585583</v>
      </c>
      <c r="G143" s="36">
        <f t="shared" si="23"/>
        <v>26037.32199991525</v>
      </c>
      <c r="H143" s="37">
        <f t="shared" si="24"/>
        <v>3797</v>
      </c>
      <c r="I143" s="34" t="str">
        <f t="shared" si="40"/>
        <v>15y</v>
      </c>
      <c r="J143" s="36">
        <f t="shared" si="41"/>
        <v>4015.9748880608195</v>
      </c>
      <c r="K143" s="36"/>
      <c r="L143" s="36">
        <f t="shared" si="42"/>
        <v>3097.2502586916089</v>
      </c>
      <c r="M143" s="36"/>
      <c r="N143" s="36"/>
    </row>
    <row r="144" spans="1:14">
      <c r="A144" s="34" t="s">
        <v>179</v>
      </c>
      <c r="B144" s="35">
        <v>48632</v>
      </c>
      <c r="C144" s="36"/>
      <c r="D144" s="36">
        <f t="shared" si="25"/>
        <v>6692.6982308190272</v>
      </c>
      <c r="E144" s="36">
        <f t="shared" si="26"/>
        <v>3030205.2268100935</v>
      </c>
      <c r="F144" s="36">
        <f t="shared" si="27"/>
        <v>19344.623769096223</v>
      </c>
      <c r="G144" s="36">
        <f t="shared" si="23"/>
        <v>26037.32199991525</v>
      </c>
      <c r="H144" s="37">
        <f t="shared" si="24"/>
        <v>3828</v>
      </c>
      <c r="I144" s="34" t="str">
        <f t="shared" si="40"/>
        <v>15y</v>
      </c>
      <c r="J144" s="36">
        <f t="shared" si="41"/>
        <v>4015.9748880608195</v>
      </c>
      <c r="K144" s="36"/>
      <c r="L144" s="36">
        <f t="shared" si="42"/>
        <v>3097.2502586916089</v>
      </c>
      <c r="M144" s="36"/>
      <c r="N144" s="36"/>
    </row>
    <row r="145" spans="1:14">
      <c r="A145" s="34" t="s">
        <v>179</v>
      </c>
      <c r="B145" s="35">
        <v>48660</v>
      </c>
      <c r="C145" s="36"/>
      <c r="D145" s="36">
        <f t="shared" si="25"/>
        <v>8603.2645305969017</v>
      </c>
      <c r="E145" s="36">
        <f t="shared" si="26"/>
        <v>3021601.9622794967</v>
      </c>
      <c r="F145" s="36">
        <f t="shared" si="27"/>
        <v>17434.057469318348</v>
      </c>
      <c r="G145" s="36">
        <f t="shared" si="23"/>
        <v>26037.32199991525</v>
      </c>
      <c r="H145" s="37">
        <f t="shared" si="24"/>
        <v>3856</v>
      </c>
      <c r="I145" s="34" t="str">
        <f t="shared" si="40"/>
        <v>15y</v>
      </c>
      <c r="J145" s="36">
        <f t="shared" si="41"/>
        <v>4015.9748880608195</v>
      </c>
      <c r="K145" s="36"/>
      <c r="L145" s="36">
        <f t="shared" si="42"/>
        <v>3097.2502586916089</v>
      </c>
      <c r="M145" s="36"/>
      <c r="N145" s="36"/>
    </row>
    <row r="146" spans="1:14">
      <c r="A146" s="34" t="s">
        <v>179</v>
      </c>
      <c r="B146" s="35">
        <v>48691</v>
      </c>
      <c r="C146" s="36"/>
      <c r="D146" s="36">
        <f t="shared" si="25"/>
        <v>6790.1314182718816</v>
      </c>
      <c r="E146" s="36">
        <f t="shared" si="26"/>
        <v>3014811.8308612248</v>
      </c>
      <c r="F146" s="36">
        <f t="shared" si="27"/>
        <v>19247.190581643368</v>
      </c>
      <c r="G146" s="36">
        <f t="shared" si="23"/>
        <v>26037.32199991525</v>
      </c>
      <c r="H146" s="37">
        <f t="shared" si="24"/>
        <v>3887</v>
      </c>
      <c r="I146" s="34" t="str">
        <f t="shared" si="40"/>
        <v>15y</v>
      </c>
      <c r="J146" s="36">
        <f t="shared" si="41"/>
        <v>4015.9748880608195</v>
      </c>
      <c r="K146" s="36"/>
      <c r="L146" s="36">
        <f t="shared" si="42"/>
        <v>3097.2502586916089</v>
      </c>
      <c r="M146" s="36"/>
      <c r="N146" s="36"/>
    </row>
    <row r="147" spans="1:14">
      <c r="A147" s="34" t="s">
        <v>179</v>
      </c>
      <c r="B147" s="35">
        <v>48721</v>
      </c>
      <c r="C147" s="36"/>
      <c r="D147" s="36">
        <f t="shared" si="25"/>
        <v>7452.8655083049634</v>
      </c>
      <c r="E147" s="36">
        <f t="shared" si="26"/>
        <v>3007358.9653529199</v>
      </c>
      <c r="F147" s="36">
        <f t="shared" si="27"/>
        <v>18584.456491610286</v>
      </c>
      <c r="G147" s="36">
        <f t="shared" ref="G147:G210" si="43">SUM(D147,F147)</f>
        <v>26037.32199991525</v>
      </c>
      <c r="H147" s="37">
        <f t="shared" ref="H147:H210" si="44">B147-$A$3</f>
        <v>3917</v>
      </c>
      <c r="I147" s="34" t="str">
        <f t="shared" si="40"/>
        <v>15y</v>
      </c>
      <c r="J147" s="36">
        <f t="shared" si="41"/>
        <v>4015.9748880608195</v>
      </c>
      <c r="K147" s="36"/>
      <c r="L147" s="36">
        <f t="shared" si="42"/>
        <v>3097.2502586916089</v>
      </c>
      <c r="M147" s="36"/>
      <c r="N147" s="36"/>
    </row>
    <row r="148" spans="1:14">
      <c r="A148" s="34" t="s">
        <v>179</v>
      </c>
      <c r="B148" s="35">
        <v>48752</v>
      </c>
      <c r="C148" s="36"/>
      <c r="D148" s="36">
        <f t="shared" ref="D148:D211" si="45">$B$14-F148</f>
        <v>6880.8573575987066</v>
      </c>
      <c r="E148" s="36">
        <f t="shared" ref="E148:E211" si="46">E147-D148</f>
        <v>3000478.107995321</v>
      </c>
      <c r="F148" s="36">
        <f t="shared" si="27"/>
        <v>19156.464642316543</v>
      </c>
      <c r="G148" s="36">
        <f t="shared" si="43"/>
        <v>26037.32199991525</v>
      </c>
      <c r="H148" s="37">
        <f t="shared" si="44"/>
        <v>3948</v>
      </c>
      <c r="I148" s="34" t="str">
        <f t="shared" si="40"/>
        <v>15y</v>
      </c>
      <c r="J148" s="36">
        <f t="shared" si="41"/>
        <v>4015.9748880608195</v>
      </c>
      <c r="K148" s="36"/>
      <c r="L148" s="36">
        <f t="shared" si="42"/>
        <v>3097.2502586916089</v>
      </c>
      <c r="M148" s="36"/>
      <c r="N148" s="36"/>
    </row>
    <row r="149" spans="1:14">
      <c r="A149" s="34" t="s">
        <v>179</v>
      </c>
      <c r="B149" s="35">
        <v>48782</v>
      </c>
      <c r="C149" s="36"/>
      <c r="D149" s="36">
        <f t="shared" si="45"/>
        <v>7541.2240739166955</v>
      </c>
      <c r="E149" s="36">
        <f t="shared" si="46"/>
        <v>2992936.8839214044</v>
      </c>
      <c r="F149" s="36">
        <f t="shared" ref="F149:F212" si="47">E148*$J$3*((B149-B148)/365)</f>
        <v>18496.097925998554</v>
      </c>
      <c r="G149" s="36">
        <f t="shared" si="43"/>
        <v>26037.32199991525</v>
      </c>
      <c r="H149" s="37">
        <f t="shared" si="44"/>
        <v>3978</v>
      </c>
      <c r="I149" s="34" t="str">
        <f t="shared" si="40"/>
        <v>15y</v>
      </c>
      <c r="J149" s="36">
        <f t="shared" si="41"/>
        <v>4015.9748880608195</v>
      </c>
      <c r="K149" s="36"/>
      <c r="L149" s="36">
        <f t="shared" si="42"/>
        <v>3097.2502586916089</v>
      </c>
      <c r="M149" s="36"/>
      <c r="N149" s="36"/>
    </row>
    <row r="150" spans="1:14">
      <c r="A150" s="34" t="s">
        <v>179</v>
      </c>
      <c r="B150" s="35">
        <v>48813</v>
      </c>
      <c r="C150" s="36"/>
      <c r="D150" s="36">
        <f t="shared" si="45"/>
        <v>6972.7240406898673</v>
      </c>
      <c r="E150" s="36">
        <f t="shared" si="46"/>
        <v>2985964.1598807145</v>
      </c>
      <c r="F150" s="36">
        <f t="shared" si="47"/>
        <v>19064.597959225383</v>
      </c>
      <c r="G150" s="36">
        <f t="shared" si="43"/>
        <v>26037.32199991525</v>
      </c>
      <c r="H150" s="37">
        <f t="shared" si="44"/>
        <v>4009</v>
      </c>
      <c r="I150" s="34" t="str">
        <f t="shared" si="40"/>
        <v>15y</v>
      </c>
      <c r="J150" s="36">
        <f t="shared" si="41"/>
        <v>4015.9748880608195</v>
      </c>
      <c r="K150" s="36"/>
      <c r="L150" s="36">
        <f t="shared" si="42"/>
        <v>3097.2502586916089</v>
      </c>
      <c r="M150" s="36"/>
      <c r="N150" s="36"/>
    </row>
    <row r="151" spans="1:14">
      <c r="A151" s="34" t="s">
        <v>179</v>
      </c>
      <c r="B151" s="35">
        <v>48844</v>
      </c>
      <c r="C151" s="36"/>
      <c r="D151" s="36">
        <f t="shared" si="45"/>
        <v>7017.1393376613851</v>
      </c>
      <c r="E151" s="36">
        <f t="shared" si="46"/>
        <v>2978947.0205430533</v>
      </c>
      <c r="F151" s="36">
        <f t="shared" si="47"/>
        <v>19020.182662253865</v>
      </c>
      <c r="G151" s="36">
        <f t="shared" si="43"/>
        <v>26037.32199991525</v>
      </c>
      <c r="H151" s="37">
        <f t="shared" si="44"/>
        <v>4040</v>
      </c>
      <c r="I151" s="34" t="str">
        <f t="shared" si="40"/>
        <v>15y</v>
      </c>
      <c r="J151" s="36">
        <f t="shared" si="41"/>
        <v>4015.9748880608195</v>
      </c>
      <c r="K151" s="36"/>
      <c r="L151" s="36">
        <f t="shared" si="42"/>
        <v>3097.2502586916089</v>
      </c>
      <c r="M151" s="36"/>
      <c r="N151" s="36"/>
    </row>
    <row r="152" spans="1:14">
      <c r="A152" s="34" t="s">
        <v>179</v>
      </c>
      <c r="B152" s="35">
        <v>48874</v>
      </c>
      <c r="C152" s="36"/>
      <c r="D152" s="36">
        <f t="shared" si="45"/>
        <v>7673.9499554717731</v>
      </c>
      <c r="E152" s="36">
        <f t="shared" si="46"/>
        <v>2971273.0705875815</v>
      </c>
      <c r="F152" s="36">
        <f t="shared" si="47"/>
        <v>18363.372044443477</v>
      </c>
      <c r="G152" s="36">
        <f t="shared" si="43"/>
        <v>26037.32199991525</v>
      </c>
      <c r="H152" s="37">
        <f t="shared" si="44"/>
        <v>4070</v>
      </c>
      <c r="I152" s="34" t="str">
        <f t="shared" si="40"/>
        <v>15y</v>
      </c>
      <c r="J152" s="36">
        <f t="shared" si="41"/>
        <v>4015.9748880608195</v>
      </c>
      <c r="K152" s="36"/>
      <c r="L152" s="36">
        <f t="shared" si="42"/>
        <v>3097.2502586916089</v>
      </c>
      <c r="M152" s="36"/>
      <c r="N152" s="36"/>
    </row>
    <row r="153" spans="1:14">
      <c r="A153" s="34" t="s">
        <v>179</v>
      </c>
      <c r="B153" s="35">
        <v>48905</v>
      </c>
      <c r="C153" s="36"/>
      <c r="D153" s="36">
        <f t="shared" si="45"/>
        <v>7110.7195639806559</v>
      </c>
      <c r="E153" s="36">
        <f t="shared" si="46"/>
        <v>2964162.3510236009</v>
      </c>
      <c r="F153" s="36">
        <f t="shared" si="47"/>
        <v>18926.602435934594</v>
      </c>
      <c r="G153" s="36">
        <f t="shared" si="43"/>
        <v>26037.32199991525</v>
      </c>
      <c r="H153" s="37">
        <f t="shared" si="44"/>
        <v>4101</v>
      </c>
      <c r="I153" s="34" t="str">
        <f t="shared" si="40"/>
        <v>15y</v>
      </c>
      <c r="J153" s="36">
        <f t="shared" si="41"/>
        <v>4015.9748880608195</v>
      </c>
      <c r="K153" s="36"/>
      <c r="L153" s="36">
        <f t="shared" si="42"/>
        <v>3097.2502586916089</v>
      </c>
      <c r="M153" s="36"/>
      <c r="N153" s="36"/>
    </row>
    <row r="154" spans="1:14">
      <c r="A154" s="34" t="s">
        <v>179</v>
      </c>
      <c r="B154" s="35">
        <v>48935</v>
      </c>
      <c r="C154" s="36"/>
      <c r="D154" s="36">
        <f t="shared" si="45"/>
        <v>7765.0883292218205</v>
      </c>
      <c r="E154" s="36">
        <f t="shared" si="46"/>
        <v>2956397.2626943793</v>
      </c>
      <c r="F154" s="36">
        <f t="shared" si="47"/>
        <v>18272.233670693429</v>
      </c>
      <c r="G154" s="36">
        <f t="shared" si="43"/>
        <v>26037.32199991525</v>
      </c>
      <c r="H154" s="37">
        <f t="shared" si="44"/>
        <v>4131</v>
      </c>
      <c r="I154" s="34" t="str">
        <f t="shared" si="40"/>
        <v>15y</v>
      </c>
      <c r="J154" s="36">
        <f t="shared" si="41"/>
        <v>4015.9748880608195</v>
      </c>
      <c r="K154" s="36"/>
      <c r="L154" s="36">
        <f t="shared" si="42"/>
        <v>3097.2502586916089</v>
      </c>
      <c r="M154" s="36"/>
      <c r="N154" s="36"/>
    </row>
    <row r="155" spans="1:14">
      <c r="A155" s="34" t="s">
        <v>179</v>
      </c>
      <c r="B155" s="35">
        <v>48966</v>
      </c>
      <c r="C155" s="36"/>
      <c r="D155" s="36">
        <f t="shared" si="45"/>
        <v>7205.4764224784522</v>
      </c>
      <c r="E155" s="36">
        <f t="shared" si="46"/>
        <v>2949191.7862719009</v>
      </c>
      <c r="F155" s="36">
        <f t="shared" si="47"/>
        <v>18831.845577436798</v>
      </c>
      <c r="G155" s="36">
        <f t="shared" si="43"/>
        <v>26037.32199991525</v>
      </c>
      <c r="H155" s="37">
        <f t="shared" si="44"/>
        <v>4162</v>
      </c>
      <c r="I155" s="34" t="str">
        <f t="shared" si="40"/>
        <v>15y</v>
      </c>
      <c r="J155" s="36">
        <f t="shared" si="41"/>
        <v>4015.9748880608195</v>
      </c>
      <c r="K155" s="36"/>
      <c r="L155" s="36">
        <f t="shared" si="42"/>
        <v>3097.2502586916089</v>
      </c>
      <c r="M155" s="36"/>
      <c r="N155" s="36"/>
    </row>
    <row r="156" spans="1:14">
      <c r="A156" s="34" t="s">
        <v>179</v>
      </c>
      <c r="B156" s="35">
        <v>48997</v>
      </c>
      <c r="C156" s="36"/>
      <c r="D156" s="36">
        <f t="shared" si="45"/>
        <v>7251.3743202380756</v>
      </c>
      <c r="E156" s="36">
        <f t="shared" si="46"/>
        <v>2941940.411951663</v>
      </c>
      <c r="F156" s="36">
        <f t="shared" si="47"/>
        <v>18785.947679677174</v>
      </c>
      <c r="G156" s="36">
        <f t="shared" si="43"/>
        <v>26037.32199991525</v>
      </c>
      <c r="H156" s="37">
        <f t="shared" si="44"/>
        <v>4193</v>
      </c>
      <c r="I156" s="34" t="str">
        <f t="shared" si="40"/>
        <v>15y</v>
      </c>
      <c r="J156" s="36">
        <f t="shared" si="41"/>
        <v>4015.9748880608195</v>
      </c>
      <c r="K156" s="36"/>
      <c r="L156" s="36">
        <f t="shared" si="42"/>
        <v>3097.2502586916089</v>
      </c>
      <c r="M156" s="36"/>
      <c r="N156" s="36"/>
    </row>
    <row r="157" spans="1:14">
      <c r="A157" s="34" t="s">
        <v>179</v>
      </c>
      <c r="B157" s="35">
        <v>49025</v>
      </c>
      <c r="C157" s="36"/>
      <c r="D157" s="36">
        <f t="shared" si="45"/>
        <v>9111.0894927960908</v>
      </c>
      <c r="E157" s="36">
        <f t="shared" si="46"/>
        <v>2932829.322458867</v>
      </c>
      <c r="F157" s="36">
        <f t="shared" si="47"/>
        <v>16926.232507119159</v>
      </c>
      <c r="G157" s="36">
        <f t="shared" si="43"/>
        <v>26037.32199991525</v>
      </c>
      <c r="H157" s="37">
        <f t="shared" si="44"/>
        <v>4221</v>
      </c>
      <c r="I157" s="34" t="str">
        <f t="shared" si="40"/>
        <v>15y</v>
      </c>
      <c r="J157" s="36">
        <f t="shared" si="41"/>
        <v>4015.9748880608195</v>
      </c>
      <c r="K157" s="36"/>
      <c r="L157" s="36">
        <f t="shared" si="42"/>
        <v>3097.2502586916089</v>
      </c>
      <c r="M157" s="36"/>
      <c r="N157" s="36"/>
    </row>
    <row r="158" spans="1:14">
      <c r="A158" s="34" t="s">
        <v>179</v>
      </c>
      <c r="B158" s="35">
        <v>49056</v>
      </c>
      <c r="C158" s="36"/>
      <c r="D158" s="36">
        <f t="shared" si="45"/>
        <v>7355.6009732937018</v>
      </c>
      <c r="E158" s="36">
        <f t="shared" si="46"/>
        <v>2925473.7214855733</v>
      </c>
      <c r="F158" s="36">
        <f t="shared" si="47"/>
        <v>18681.721026621548</v>
      </c>
      <c r="G158" s="36">
        <f t="shared" si="43"/>
        <v>26037.32199991525</v>
      </c>
      <c r="H158" s="37">
        <f t="shared" si="44"/>
        <v>4252</v>
      </c>
      <c r="I158" s="34" t="str">
        <f t="shared" si="40"/>
        <v>15y</v>
      </c>
      <c r="J158" s="36">
        <f t="shared" si="41"/>
        <v>4015.9748880608195</v>
      </c>
      <c r="K158" s="36"/>
      <c r="L158" s="36">
        <f t="shared" si="42"/>
        <v>3097.2502586916089</v>
      </c>
      <c r="M158" s="36"/>
      <c r="N158" s="36"/>
    </row>
    <row r="159" spans="1:14">
      <c r="A159" s="34" t="s">
        <v>179</v>
      </c>
      <c r="B159" s="35">
        <v>49086</v>
      </c>
      <c r="C159" s="36"/>
      <c r="D159" s="36">
        <f t="shared" si="45"/>
        <v>8003.5798811685672</v>
      </c>
      <c r="E159" s="36">
        <f t="shared" si="46"/>
        <v>2917470.1416044049</v>
      </c>
      <c r="F159" s="36">
        <f t="shared" si="47"/>
        <v>18033.742118746683</v>
      </c>
      <c r="G159" s="36">
        <f t="shared" si="43"/>
        <v>26037.32199991525</v>
      </c>
      <c r="H159" s="37">
        <f t="shared" si="44"/>
        <v>4282</v>
      </c>
      <c r="I159" s="34" t="str">
        <f t="shared" si="40"/>
        <v>15y</v>
      </c>
      <c r="J159" s="36">
        <f t="shared" si="41"/>
        <v>4015.9748880608195</v>
      </c>
      <c r="K159" s="36"/>
      <c r="L159" s="36">
        <f t="shared" si="42"/>
        <v>3097.2502586916089</v>
      </c>
      <c r="M159" s="36"/>
      <c r="N159" s="36"/>
    </row>
    <row r="160" spans="1:14">
      <c r="A160" s="34" t="s">
        <v>179</v>
      </c>
      <c r="B160" s="35">
        <v>49117</v>
      </c>
      <c r="C160" s="36"/>
      <c r="D160" s="36">
        <f t="shared" si="45"/>
        <v>7453.4368513392474</v>
      </c>
      <c r="E160" s="36">
        <f t="shared" si="46"/>
        <v>2910016.7047530655</v>
      </c>
      <c r="F160" s="36">
        <f t="shared" si="47"/>
        <v>18583.885148576002</v>
      </c>
      <c r="G160" s="36">
        <f t="shared" si="43"/>
        <v>26037.32199991525</v>
      </c>
      <c r="H160" s="37">
        <f t="shared" si="44"/>
        <v>4313</v>
      </c>
      <c r="I160" s="34" t="str">
        <f t="shared" si="40"/>
        <v>15y</v>
      </c>
      <c r="J160" s="36">
        <f t="shared" si="41"/>
        <v>4015.9748880608195</v>
      </c>
      <c r="K160" s="36"/>
      <c r="L160" s="36">
        <f t="shared" si="42"/>
        <v>3097.2502586916089</v>
      </c>
      <c r="M160" s="36"/>
      <c r="N160" s="36"/>
    </row>
    <row r="161" spans="1:14">
      <c r="A161" s="34" t="s">
        <v>179</v>
      </c>
      <c r="B161" s="35">
        <v>49147</v>
      </c>
      <c r="C161" s="36"/>
      <c r="D161" s="36">
        <f t="shared" si="45"/>
        <v>8098.8628610264932</v>
      </c>
      <c r="E161" s="36">
        <f t="shared" si="46"/>
        <v>2901917.8418920389</v>
      </c>
      <c r="F161" s="36">
        <f t="shared" si="47"/>
        <v>17938.459138888757</v>
      </c>
      <c r="G161" s="36">
        <f t="shared" si="43"/>
        <v>26037.32199991525</v>
      </c>
      <c r="H161" s="37">
        <f t="shared" si="44"/>
        <v>4343</v>
      </c>
      <c r="I161" s="34" t="str">
        <f t="shared" si="40"/>
        <v>15y</v>
      </c>
      <c r="J161" s="36">
        <f t="shared" si="41"/>
        <v>4015.9748880608195</v>
      </c>
      <c r="K161" s="36"/>
      <c r="L161" s="36">
        <f t="shared" si="42"/>
        <v>3097.2502586916089</v>
      </c>
      <c r="M161" s="36"/>
      <c r="N161" s="36"/>
    </row>
    <row r="162" spans="1:14">
      <c r="A162" s="34" t="s">
        <v>179</v>
      </c>
      <c r="B162" s="35">
        <v>49178</v>
      </c>
      <c r="C162" s="36"/>
      <c r="D162" s="36">
        <f t="shared" si="45"/>
        <v>7552.5028700550029</v>
      </c>
      <c r="E162" s="36">
        <f t="shared" si="46"/>
        <v>2894365.339021984</v>
      </c>
      <c r="F162" s="36">
        <f t="shared" si="47"/>
        <v>18484.819129860247</v>
      </c>
      <c r="G162" s="36">
        <f t="shared" si="43"/>
        <v>26037.32199991525</v>
      </c>
      <c r="H162" s="37">
        <f t="shared" si="44"/>
        <v>4374</v>
      </c>
      <c r="I162" s="34" t="str">
        <f t="shared" si="40"/>
        <v>15y</v>
      </c>
      <c r="J162" s="36">
        <f t="shared" si="41"/>
        <v>4015.9748880608195</v>
      </c>
      <c r="K162" s="36"/>
      <c r="L162" s="36">
        <f t="shared" si="42"/>
        <v>3097.2502586916089</v>
      </c>
      <c r="M162" s="36"/>
      <c r="N162" s="36"/>
    </row>
    <row r="163" spans="1:14">
      <c r="A163" s="34" t="s">
        <v>179</v>
      </c>
      <c r="B163" s="35">
        <v>49209</v>
      </c>
      <c r="C163" s="36"/>
      <c r="D163" s="36">
        <f t="shared" si="45"/>
        <v>7600.6112787478196</v>
      </c>
      <c r="E163" s="36">
        <f t="shared" si="46"/>
        <v>2886764.7277432363</v>
      </c>
      <c r="F163" s="36">
        <f t="shared" si="47"/>
        <v>18436.71072116743</v>
      </c>
      <c r="G163" s="36">
        <f t="shared" si="43"/>
        <v>26037.32199991525</v>
      </c>
      <c r="H163" s="37">
        <f t="shared" si="44"/>
        <v>4405</v>
      </c>
      <c r="I163" s="34" t="str">
        <f t="shared" si="40"/>
        <v>15y</v>
      </c>
      <c r="J163" s="36">
        <f t="shared" si="41"/>
        <v>4015.9748880608195</v>
      </c>
      <c r="K163" s="36"/>
      <c r="L163" s="36">
        <f t="shared" si="42"/>
        <v>3097.2502586916089</v>
      </c>
      <c r="M163" s="36"/>
      <c r="N163" s="36"/>
    </row>
    <row r="164" spans="1:14">
      <c r="A164" s="34" t="s">
        <v>179</v>
      </c>
      <c r="B164" s="35">
        <v>49239</v>
      </c>
      <c r="C164" s="36"/>
      <c r="D164" s="36">
        <f t="shared" si="45"/>
        <v>8242.1969658816015</v>
      </c>
      <c r="E164" s="36">
        <f t="shared" si="46"/>
        <v>2878522.5307773547</v>
      </c>
      <c r="F164" s="36">
        <f t="shared" si="47"/>
        <v>17795.125034033648</v>
      </c>
      <c r="G164" s="36">
        <f t="shared" si="43"/>
        <v>26037.32199991525</v>
      </c>
      <c r="H164" s="37">
        <f t="shared" si="44"/>
        <v>4435</v>
      </c>
      <c r="I164" s="34" t="str">
        <f t="shared" si="40"/>
        <v>15y</v>
      </c>
      <c r="J164" s="36">
        <f t="shared" si="41"/>
        <v>4015.9748880608195</v>
      </c>
      <c r="K164" s="36"/>
      <c r="L164" s="36">
        <f t="shared" si="42"/>
        <v>3097.2502586916089</v>
      </c>
      <c r="M164" s="36"/>
      <c r="N164" s="36"/>
    </row>
    <row r="165" spans="1:14">
      <c r="A165" s="34" t="s">
        <v>179</v>
      </c>
      <c r="B165" s="35">
        <v>49270</v>
      </c>
      <c r="C165" s="36"/>
      <c r="D165" s="36">
        <f t="shared" si="45"/>
        <v>7701.5277970184034</v>
      </c>
      <c r="E165" s="36">
        <f t="shared" si="46"/>
        <v>2870821.0029803365</v>
      </c>
      <c r="F165" s="36">
        <f t="shared" si="47"/>
        <v>18335.794202896846</v>
      </c>
      <c r="G165" s="36">
        <f t="shared" si="43"/>
        <v>26037.32199991525</v>
      </c>
      <c r="H165" s="37">
        <f t="shared" si="44"/>
        <v>4466</v>
      </c>
      <c r="I165" s="34" t="str">
        <f t="shared" si="40"/>
        <v>15y</v>
      </c>
      <c r="J165" s="36">
        <f t="shared" si="41"/>
        <v>4015.9748880608195</v>
      </c>
      <c r="K165" s="36"/>
      <c r="L165" s="36">
        <f t="shared" si="42"/>
        <v>3097.2502586916089</v>
      </c>
      <c r="M165" s="36"/>
      <c r="N165" s="36"/>
    </row>
    <row r="166" spans="1:14">
      <c r="A166" s="34" t="s">
        <v>179</v>
      </c>
      <c r="B166" s="35">
        <v>49300</v>
      </c>
      <c r="C166" s="36"/>
      <c r="D166" s="36">
        <f t="shared" si="45"/>
        <v>8340.4802007213948</v>
      </c>
      <c r="E166" s="36">
        <f t="shared" si="46"/>
        <v>2862480.5227796151</v>
      </c>
      <c r="F166" s="36">
        <f t="shared" si="47"/>
        <v>17696.841799193855</v>
      </c>
      <c r="G166" s="36">
        <f t="shared" si="43"/>
        <v>26037.32199991525</v>
      </c>
      <c r="H166" s="37">
        <f t="shared" si="44"/>
        <v>4496</v>
      </c>
      <c r="I166" s="34" t="str">
        <f t="shared" si="40"/>
        <v>15y</v>
      </c>
      <c r="J166" s="36">
        <f t="shared" si="41"/>
        <v>4015.9748880608195</v>
      </c>
      <c r="K166" s="36"/>
      <c r="L166" s="36">
        <f t="shared" si="42"/>
        <v>3097.2502586916089</v>
      </c>
      <c r="M166" s="36"/>
      <c r="N166" s="36"/>
    </row>
    <row r="167" spans="1:14">
      <c r="A167" s="34" t="s">
        <v>179</v>
      </c>
      <c r="B167" s="35">
        <v>49331</v>
      </c>
      <c r="C167" s="36"/>
      <c r="D167" s="36">
        <f t="shared" si="45"/>
        <v>7803.7131904286616</v>
      </c>
      <c r="E167" s="36">
        <f t="shared" si="46"/>
        <v>2854676.8095891867</v>
      </c>
      <c r="F167" s="36">
        <f t="shared" si="47"/>
        <v>18233.608809486588</v>
      </c>
      <c r="G167" s="36">
        <f t="shared" si="43"/>
        <v>26037.32199991525</v>
      </c>
      <c r="H167" s="37">
        <f t="shared" si="44"/>
        <v>4527</v>
      </c>
      <c r="I167" s="34" t="str">
        <f t="shared" si="40"/>
        <v>15y</v>
      </c>
      <c r="J167" s="36">
        <f t="shared" si="41"/>
        <v>4015.9748880608195</v>
      </c>
      <c r="K167" s="36"/>
      <c r="L167" s="36">
        <f t="shared" si="42"/>
        <v>3097.2502586916089</v>
      </c>
      <c r="M167" s="36"/>
      <c r="N167" s="36"/>
    </row>
    <row r="168" spans="1:14">
      <c r="A168" s="34" t="s">
        <v>179</v>
      </c>
      <c r="B168" s="35">
        <v>49362</v>
      </c>
      <c r="C168" s="36"/>
      <c r="D168" s="36">
        <f t="shared" si="45"/>
        <v>7853.4217744498856</v>
      </c>
      <c r="E168" s="36">
        <f t="shared" si="46"/>
        <v>2846823.3878147369</v>
      </c>
      <c r="F168" s="36">
        <f t="shared" si="47"/>
        <v>18183.900225465364</v>
      </c>
      <c r="G168" s="36">
        <f t="shared" si="43"/>
        <v>26037.32199991525</v>
      </c>
      <c r="H168" s="37">
        <f t="shared" si="44"/>
        <v>4558</v>
      </c>
      <c r="I168" s="34" t="str">
        <f t="shared" si="40"/>
        <v>15y</v>
      </c>
      <c r="J168" s="36">
        <f t="shared" si="41"/>
        <v>4015.9748880608195</v>
      </c>
      <c r="K168" s="36"/>
      <c r="L168" s="36">
        <f t="shared" si="42"/>
        <v>3097.2502586916089</v>
      </c>
      <c r="M168" s="36"/>
      <c r="N168" s="36"/>
    </row>
    <row r="169" spans="1:14">
      <c r="A169" s="34" t="s">
        <v>179</v>
      </c>
      <c r="B169" s="35">
        <v>49390</v>
      </c>
      <c r="C169" s="36"/>
      <c r="D169" s="36">
        <f t="shared" si="45"/>
        <v>9658.3381248167625</v>
      </c>
      <c r="E169" s="36">
        <f t="shared" si="46"/>
        <v>2837165.0496899202</v>
      </c>
      <c r="F169" s="36">
        <f t="shared" si="47"/>
        <v>16378.983875098487</v>
      </c>
      <c r="G169" s="36">
        <f t="shared" si="43"/>
        <v>26037.32199991525</v>
      </c>
      <c r="H169" s="37">
        <f t="shared" si="44"/>
        <v>4586</v>
      </c>
      <c r="I169" s="34" t="str">
        <f t="shared" si="40"/>
        <v>15y</v>
      </c>
      <c r="J169" s="36">
        <f t="shared" si="41"/>
        <v>4015.9748880608195</v>
      </c>
      <c r="K169" s="36"/>
      <c r="L169" s="36">
        <f t="shared" si="42"/>
        <v>3097.2502586916089</v>
      </c>
      <c r="M169" s="36"/>
      <c r="N169" s="36"/>
    </row>
    <row r="170" spans="1:14">
      <c r="A170" s="34" t="s">
        <v>179</v>
      </c>
      <c r="B170" s="35">
        <v>49421</v>
      </c>
      <c r="C170" s="36"/>
      <c r="D170" s="36">
        <f t="shared" si="45"/>
        <v>7964.9692861369913</v>
      </c>
      <c r="E170" s="36">
        <f t="shared" si="46"/>
        <v>2829200.0804037834</v>
      </c>
      <c r="F170" s="36">
        <f t="shared" si="47"/>
        <v>18072.352713778258</v>
      </c>
      <c r="G170" s="36">
        <f t="shared" si="43"/>
        <v>26037.32199991525</v>
      </c>
      <c r="H170" s="37">
        <f t="shared" si="44"/>
        <v>4617</v>
      </c>
      <c r="I170" s="34" t="str">
        <f t="shared" si="40"/>
        <v>15y</v>
      </c>
      <c r="J170" s="36">
        <f t="shared" si="41"/>
        <v>4015.9748880608195</v>
      </c>
      <c r="K170" s="36"/>
      <c r="L170" s="36">
        <f t="shared" si="42"/>
        <v>3097.2502586916089</v>
      </c>
      <c r="M170" s="36"/>
      <c r="N170" s="36"/>
    </row>
    <row r="171" spans="1:14">
      <c r="A171" s="34" t="s">
        <v>179</v>
      </c>
      <c r="B171" s="35">
        <v>49451</v>
      </c>
      <c r="C171" s="36"/>
      <c r="D171" s="36">
        <f t="shared" si="45"/>
        <v>8597.0475316727498</v>
      </c>
      <c r="E171" s="36">
        <f t="shared" si="46"/>
        <v>2820603.0328721106</v>
      </c>
      <c r="F171" s="36">
        <f t="shared" si="47"/>
        <v>17440.2744682425</v>
      </c>
      <c r="G171" s="36">
        <f t="shared" si="43"/>
        <v>26037.32199991525</v>
      </c>
      <c r="H171" s="37">
        <f t="shared" si="44"/>
        <v>4647</v>
      </c>
      <c r="I171" s="34" t="str">
        <f t="shared" ref="I171:I198" si="48">$S$5</f>
        <v>15y</v>
      </c>
      <c r="J171" s="36">
        <f t="shared" ref="J171:J198" si="49">G171*$S$9</f>
        <v>4015.9748880608195</v>
      </c>
      <c r="K171" s="36"/>
      <c r="L171" s="36">
        <f t="shared" ref="L171:L198" si="50">G171*$S$11</f>
        <v>3097.2502586916089</v>
      </c>
      <c r="M171" s="36"/>
      <c r="N171" s="36"/>
    </row>
    <row r="172" spans="1:14">
      <c r="A172" s="34" t="s">
        <v>179</v>
      </c>
      <c r="B172" s="35">
        <v>49482</v>
      </c>
      <c r="C172" s="36"/>
      <c r="D172" s="36">
        <f t="shared" si="45"/>
        <v>8070.4670644970101</v>
      </c>
      <c r="E172" s="36">
        <f t="shared" si="46"/>
        <v>2812532.5658076135</v>
      </c>
      <c r="F172" s="36">
        <f t="shared" si="47"/>
        <v>17966.85493541824</v>
      </c>
      <c r="G172" s="36">
        <f t="shared" si="43"/>
        <v>26037.32199991525</v>
      </c>
      <c r="H172" s="37">
        <f t="shared" si="44"/>
        <v>4678</v>
      </c>
      <c r="I172" s="34" t="str">
        <f t="shared" si="48"/>
        <v>15y</v>
      </c>
      <c r="J172" s="36">
        <f t="shared" si="49"/>
        <v>4015.9748880608195</v>
      </c>
      <c r="K172" s="36"/>
      <c r="L172" s="36">
        <f t="shared" si="50"/>
        <v>3097.2502586916089</v>
      </c>
      <c r="M172" s="36"/>
      <c r="N172" s="36"/>
    </row>
    <row r="173" spans="1:14">
      <c r="A173" s="34" t="s">
        <v>179</v>
      </c>
      <c r="B173" s="35">
        <v>49512</v>
      </c>
      <c r="C173" s="36"/>
      <c r="D173" s="36">
        <f t="shared" si="45"/>
        <v>8699.7924846628375</v>
      </c>
      <c r="E173" s="36">
        <f t="shared" si="46"/>
        <v>2803832.7733229506</v>
      </c>
      <c r="F173" s="36">
        <f t="shared" si="47"/>
        <v>17337.529515252412</v>
      </c>
      <c r="G173" s="36">
        <f t="shared" si="43"/>
        <v>26037.32199991525</v>
      </c>
      <c r="H173" s="37">
        <f t="shared" si="44"/>
        <v>4708</v>
      </c>
      <c r="I173" s="34" t="str">
        <f t="shared" si="48"/>
        <v>15y</v>
      </c>
      <c r="J173" s="36">
        <f t="shared" si="49"/>
        <v>4015.9748880608195</v>
      </c>
      <c r="K173" s="36"/>
      <c r="L173" s="36">
        <f t="shared" si="50"/>
        <v>3097.2502586916089</v>
      </c>
      <c r="M173" s="36"/>
      <c r="N173" s="36"/>
    </row>
    <row r="174" spans="1:14">
      <c r="A174" s="34" t="s">
        <v>179</v>
      </c>
      <c r="B174" s="35">
        <v>49543</v>
      </c>
      <c r="C174" s="36"/>
      <c r="D174" s="36">
        <f t="shared" si="45"/>
        <v>8177.2913205293335</v>
      </c>
      <c r="E174" s="36">
        <f t="shared" si="46"/>
        <v>2795655.4820024213</v>
      </c>
      <c r="F174" s="36">
        <f t="shared" si="47"/>
        <v>17860.030679385916</v>
      </c>
      <c r="G174" s="36">
        <f t="shared" si="43"/>
        <v>26037.32199991525</v>
      </c>
      <c r="H174" s="37">
        <f t="shared" si="44"/>
        <v>4739</v>
      </c>
      <c r="I174" s="34" t="str">
        <f t="shared" si="48"/>
        <v>15y</v>
      </c>
      <c r="J174" s="36">
        <f t="shared" si="49"/>
        <v>4015.9748880608195</v>
      </c>
      <c r="K174" s="36"/>
      <c r="L174" s="36">
        <f t="shared" si="50"/>
        <v>3097.2502586916089</v>
      </c>
      <c r="M174" s="36"/>
      <c r="N174" s="36"/>
    </row>
    <row r="175" spans="1:14">
      <c r="A175" s="34" t="s">
        <v>179</v>
      </c>
      <c r="B175" s="35">
        <v>49574</v>
      </c>
      <c r="C175" s="36"/>
      <c r="D175" s="36">
        <f t="shared" si="45"/>
        <v>8229.3795460642104</v>
      </c>
      <c r="E175" s="36">
        <f t="shared" si="46"/>
        <v>2787426.1024563569</v>
      </c>
      <c r="F175" s="36">
        <f t="shared" si="47"/>
        <v>17807.942453851039</v>
      </c>
      <c r="G175" s="36">
        <f t="shared" si="43"/>
        <v>26037.32199991525</v>
      </c>
      <c r="H175" s="37">
        <f t="shared" si="44"/>
        <v>4770</v>
      </c>
      <c r="I175" s="34" t="str">
        <f t="shared" si="48"/>
        <v>15y</v>
      </c>
      <c r="J175" s="36">
        <f t="shared" si="49"/>
        <v>4015.9748880608195</v>
      </c>
      <c r="K175" s="36"/>
      <c r="L175" s="36">
        <f t="shared" si="50"/>
        <v>3097.2502586916089</v>
      </c>
      <c r="M175" s="36"/>
      <c r="N175" s="36"/>
    </row>
    <row r="176" spans="1:14">
      <c r="A176" s="34" t="s">
        <v>179</v>
      </c>
      <c r="B176" s="35">
        <v>49604</v>
      </c>
      <c r="C176" s="36"/>
      <c r="D176" s="36">
        <f t="shared" si="45"/>
        <v>8854.5583546363378</v>
      </c>
      <c r="E176" s="36">
        <f t="shared" si="46"/>
        <v>2778571.5441017207</v>
      </c>
      <c r="F176" s="36">
        <f t="shared" si="47"/>
        <v>17182.763645278912</v>
      </c>
      <c r="G176" s="36">
        <f t="shared" si="43"/>
        <v>26037.32199991525</v>
      </c>
      <c r="H176" s="37">
        <f t="shared" si="44"/>
        <v>4800</v>
      </c>
      <c r="I176" s="34" t="str">
        <f t="shared" si="48"/>
        <v>15y</v>
      </c>
      <c r="J176" s="36">
        <f t="shared" si="49"/>
        <v>4015.9748880608195</v>
      </c>
      <c r="K176" s="36"/>
      <c r="L176" s="36">
        <f t="shared" si="50"/>
        <v>3097.2502586916089</v>
      </c>
      <c r="M176" s="36"/>
      <c r="N176" s="36"/>
    </row>
    <row r="177" spans="1:14">
      <c r="A177" s="34" t="s">
        <v>179</v>
      </c>
      <c r="B177" s="35">
        <v>49635</v>
      </c>
      <c r="C177" s="36"/>
      <c r="D177" s="36">
        <f t="shared" si="45"/>
        <v>8338.2018902262098</v>
      </c>
      <c r="E177" s="36">
        <f t="shared" si="46"/>
        <v>2770233.3422114947</v>
      </c>
      <c r="F177" s="36">
        <f t="shared" si="47"/>
        <v>17699.12010968904</v>
      </c>
      <c r="G177" s="36">
        <f t="shared" si="43"/>
        <v>26037.32199991525</v>
      </c>
      <c r="H177" s="37">
        <f t="shared" si="44"/>
        <v>4831</v>
      </c>
      <c r="I177" s="34" t="str">
        <f t="shared" si="48"/>
        <v>15y</v>
      </c>
      <c r="J177" s="36">
        <f t="shared" si="49"/>
        <v>4015.9748880608195</v>
      </c>
      <c r="K177" s="36"/>
      <c r="L177" s="36">
        <f t="shared" si="50"/>
        <v>3097.2502586916089</v>
      </c>
      <c r="M177" s="36"/>
      <c r="N177" s="36"/>
    </row>
    <row r="178" spans="1:14">
      <c r="A178" s="34" t="s">
        <v>179</v>
      </c>
      <c r="B178" s="35">
        <v>49665</v>
      </c>
      <c r="C178" s="36"/>
      <c r="D178" s="36">
        <f t="shared" si="45"/>
        <v>8960.5411232690531</v>
      </c>
      <c r="E178" s="36">
        <f t="shared" si="46"/>
        <v>2761272.8010882256</v>
      </c>
      <c r="F178" s="36">
        <f t="shared" si="47"/>
        <v>17076.780876646197</v>
      </c>
      <c r="G178" s="36">
        <f t="shared" si="43"/>
        <v>26037.32199991525</v>
      </c>
      <c r="H178" s="37">
        <f t="shared" si="44"/>
        <v>4861</v>
      </c>
      <c r="I178" s="34" t="str">
        <f t="shared" si="48"/>
        <v>15y</v>
      </c>
      <c r="J178" s="36">
        <f t="shared" si="49"/>
        <v>4015.9748880608195</v>
      </c>
      <c r="K178" s="36"/>
      <c r="L178" s="36">
        <f t="shared" si="50"/>
        <v>3097.2502586916089</v>
      </c>
      <c r="M178" s="36"/>
      <c r="N178" s="36"/>
    </row>
    <row r="179" spans="1:14">
      <c r="A179" s="34" t="s">
        <v>179</v>
      </c>
      <c r="B179" s="35">
        <v>49696</v>
      </c>
      <c r="C179" s="36"/>
      <c r="D179" s="36">
        <f t="shared" si="45"/>
        <v>8448.3925135313475</v>
      </c>
      <c r="E179" s="36">
        <f t="shared" si="46"/>
        <v>2752824.4085746943</v>
      </c>
      <c r="F179" s="36">
        <f t="shared" si="47"/>
        <v>17588.929486383902</v>
      </c>
      <c r="G179" s="36">
        <f t="shared" si="43"/>
        <v>26037.32199991525</v>
      </c>
      <c r="H179" s="37">
        <f t="shared" si="44"/>
        <v>4892</v>
      </c>
      <c r="I179" s="34" t="str">
        <f t="shared" si="48"/>
        <v>15y</v>
      </c>
      <c r="J179" s="36">
        <f t="shared" si="49"/>
        <v>4015.9748880608195</v>
      </c>
      <c r="K179" s="36"/>
      <c r="L179" s="36">
        <f t="shared" si="50"/>
        <v>3097.2502586916089</v>
      </c>
      <c r="M179" s="36"/>
      <c r="N179" s="36"/>
    </row>
    <row r="180" spans="1:14">
      <c r="A180" s="34" t="s">
        <v>179</v>
      </c>
      <c r="B180" s="35">
        <v>49727</v>
      </c>
      <c r="C180" s="36"/>
      <c r="D180" s="36">
        <f t="shared" si="45"/>
        <v>8502.2076165284998</v>
      </c>
      <c r="E180" s="36">
        <f t="shared" si="46"/>
        <v>2744322.2009581658</v>
      </c>
      <c r="F180" s="36">
        <f t="shared" si="47"/>
        <v>17535.11438338675</v>
      </c>
      <c r="G180" s="36">
        <f t="shared" si="43"/>
        <v>26037.32199991525</v>
      </c>
      <c r="H180" s="37">
        <f t="shared" si="44"/>
        <v>4923</v>
      </c>
      <c r="I180" s="34" t="str">
        <f t="shared" si="48"/>
        <v>15y</v>
      </c>
      <c r="J180" s="36">
        <f t="shared" si="49"/>
        <v>4015.9748880608195</v>
      </c>
      <c r="K180" s="36"/>
      <c r="L180" s="36">
        <f t="shared" si="50"/>
        <v>3097.2502586916089</v>
      </c>
      <c r="M180" s="36"/>
      <c r="N180" s="36"/>
    </row>
    <row r="181" spans="1:14">
      <c r="A181" s="34" t="s">
        <v>179</v>
      </c>
      <c r="B181" s="35">
        <v>49756</v>
      </c>
      <c r="C181" s="36"/>
      <c r="D181" s="36">
        <f t="shared" si="45"/>
        <v>9684.1691585891931</v>
      </c>
      <c r="E181" s="36">
        <f t="shared" si="46"/>
        <v>2734638.0317995767</v>
      </c>
      <c r="F181" s="36">
        <f t="shared" si="47"/>
        <v>16353.152841326057</v>
      </c>
      <c r="G181" s="36">
        <f t="shared" si="43"/>
        <v>26037.32199991525</v>
      </c>
      <c r="H181" s="37">
        <f t="shared" si="44"/>
        <v>4952</v>
      </c>
      <c r="I181" s="34" t="str">
        <f t="shared" si="48"/>
        <v>15y</v>
      </c>
      <c r="J181" s="36">
        <f t="shared" si="49"/>
        <v>4015.9748880608195</v>
      </c>
      <c r="K181" s="36"/>
      <c r="L181" s="36">
        <f t="shared" si="50"/>
        <v>3097.2502586916089</v>
      </c>
      <c r="M181" s="36"/>
      <c r="N181" s="36"/>
    </row>
    <row r="182" spans="1:14">
      <c r="A182" s="34" t="s">
        <v>179</v>
      </c>
      <c r="B182" s="35">
        <v>49787</v>
      </c>
      <c r="C182" s="36"/>
      <c r="D182" s="36">
        <f t="shared" si="45"/>
        <v>8618.0523453015085</v>
      </c>
      <c r="E182" s="36">
        <f t="shared" si="46"/>
        <v>2726019.9794542752</v>
      </c>
      <c r="F182" s="36">
        <f t="shared" si="47"/>
        <v>17419.269654613741</v>
      </c>
      <c r="G182" s="36">
        <f t="shared" si="43"/>
        <v>26037.32199991525</v>
      </c>
      <c r="H182" s="37">
        <f t="shared" si="44"/>
        <v>4983</v>
      </c>
      <c r="I182" s="34" t="str">
        <f t="shared" si="48"/>
        <v>15y</v>
      </c>
      <c r="J182" s="36">
        <f t="shared" si="49"/>
        <v>4015.9748880608195</v>
      </c>
      <c r="K182" s="36"/>
      <c r="L182" s="36">
        <f t="shared" si="50"/>
        <v>3097.2502586916089</v>
      </c>
      <c r="M182" s="36"/>
      <c r="N182" s="36"/>
    </row>
    <row r="183" spans="1:14">
      <c r="A183" s="34" t="s">
        <v>179</v>
      </c>
      <c r="B183" s="35">
        <v>49817</v>
      </c>
      <c r="C183" s="36"/>
      <c r="D183" s="36">
        <f t="shared" si="45"/>
        <v>9233.0892498546527</v>
      </c>
      <c r="E183" s="36">
        <f t="shared" si="46"/>
        <v>2716786.8902044208</v>
      </c>
      <c r="F183" s="36">
        <f t="shared" si="47"/>
        <v>16804.232750060597</v>
      </c>
      <c r="G183" s="36">
        <f t="shared" si="43"/>
        <v>26037.32199991525</v>
      </c>
      <c r="H183" s="37">
        <f t="shared" si="44"/>
        <v>5013</v>
      </c>
      <c r="I183" s="34" t="str">
        <f t="shared" si="48"/>
        <v>15y</v>
      </c>
      <c r="J183" s="36">
        <f t="shared" si="49"/>
        <v>4015.9748880608195</v>
      </c>
      <c r="K183" s="36"/>
      <c r="L183" s="36">
        <f t="shared" si="50"/>
        <v>3097.2502586916089</v>
      </c>
      <c r="M183" s="36"/>
      <c r="N183" s="36"/>
    </row>
    <row r="184" spans="1:14">
      <c r="A184" s="34" t="s">
        <v>179</v>
      </c>
      <c r="B184" s="35">
        <v>49848</v>
      </c>
      <c r="C184" s="36"/>
      <c r="D184" s="36">
        <f t="shared" si="45"/>
        <v>8731.7616719007892</v>
      </c>
      <c r="E184" s="36">
        <f t="shared" si="46"/>
        <v>2708055.12853252</v>
      </c>
      <c r="F184" s="36">
        <f t="shared" si="47"/>
        <v>17305.560328014461</v>
      </c>
      <c r="G184" s="36">
        <f t="shared" si="43"/>
        <v>26037.32199991525</v>
      </c>
      <c r="H184" s="37">
        <f t="shared" si="44"/>
        <v>5044</v>
      </c>
      <c r="I184" s="34" t="str">
        <f t="shared" si="48"/>
        <v>15y</v>
      </c>
      <c r="J184" s="36">
        <f t="shared" si="49"/>
        <v>4015.9748880608195</v>
      </c>
      <c r="K184" s="36"/>
      <c r="L184" s="36">
        <f t="shared" si="50"/>
        <v>3097.2502586916089</v>
      </c>
      <c r="M184" s="36"/>
      <c r="N184" s="36"/>
    </row>
    <row r="185" spans="1:14">
      <c r="A185" s="34" t="s">
        <v>179</v>
      </c>
      <c r="B185" s="35">
        <v>49878</v>
      </c>
      <c r="C185" s="36"/>
      <c r="D185" s="36">
        <f t="shared" si="45"/>
        <v>9343.8314815640988</v>
      </c>
      <c r="E185" s="36">
        <f t="shared" si="46"/>
        <v>2698711.2970509557</v>
      </c>
      <c r="F185" s="36">
        <f t="shared" si="47"/>
        <v>16693.490518351151</v>
      </c>
      <c r="G185" s="36">
        <f t="shared" si="43"/>
        <v>26037.32199991525</v>
      </c>
      <c r="H185" s="37">
        <f t="shared" si="44"/>
        <v>5074</v>
      </c>
      <c r="I185" s="34" t="str">
        <f t="shared" si="48"/>
        <v>15y</v>
      </c>
      <c r="J185" s="36">
        <f t="shared" si="49"/>
        <v>4015.9748880608195</v>
      </c>
      <c r="K185" s="36"/>
      <c r="L185" s="36">
        <f t="shared" si="50"/>
        <v>3097.2502586916089</v>
      </c>
      <c r="M185" s="36"/>
      <c r="N185" s="36"/>
    </row>
    <row r="186" spans="1:14">
      <c r="A186" s="34" t="s">
        <v>179</v>
      </c>
      <c r="B186" s="35">
        <v>49909</v>
      </c>
      <c r="C186" s="36"/>
      <c r="D186" s="36">
        <f t="shared" si="45"/>
        <v>8846.9007241797117</v>
      </c>
      <c r="E186" s="36">
        <f t="shared" si="46"/>
        <v>2689864.3963267761</v>
      </c>
      <c r="F186" s="36">
        <f t="shared" si="47"/>
        <v>17190.421275735538</v>
      </c>
      <c r="G186" s="36">
        <f t="shared" si="43"/>
        <v>26037.32199991525</v>
      </c>
      <c r="H186" s="37">
        <f t="shared" si="44"/>
        <v>5105</v>
      </c>
      <c r="I186" s="34" t="str">
        <f t="shared" si="48"/>
        <v>15y</v>
      </c>
      <c r="J186" s="36">
        <f t="shared" si="49"/>
        <v>4015.9748880608195</v>
      </c>
      <c r="K186" s="36"/>
      <c r="L186" s="36">
        <f t="shared" si="50"/>
        <v>3097.2502586916089</v>
      </c>
      <c r="M186" s="36"/>
      <c r="N186" s="36"/>
    </row>
    <row r="187" spans="1:14">
      <c r="A187" s="34" t="s">
        <v>179</v>
      </c>
      <c r="B187" s="35">
        <v>49940</v>
      </c>
      <c r="C187" s="36"/>
      <c r="D187" s="36">
        <f t="shared" si="45"/>
        <v>8903.2542698885263</v>
      </c>
      <c r="E187" s="36">
        <f t="shared" si="46"/>
        <v>2680961.1420568875</v>
      </c>
      <c r="F187" s="36">
        <f t="shared" si="47"/>
        <v>17134.067730026723</v>
      </c>
      <c r="G187" s="36">
        <f t="shared" si="43"/>
        <v>26037.32199991525</v>
      </c>
      <c r="H187" s="37">
        <f t="shared" si="44"/>
        <v>5136</v>
      </c>
      <c r="I187" s="34" t="str">
        <f t="shared" si="48"/>
        <v>15y</v>
      </c>
      <c r="J187" s="36">
        <f t="shared" si="49"/>
        <v>4015.9748880608195</v>
      </c>
      <c r="K187" s="36"/>
      <c r="L187" s="36">
        <f t="shared" si="50"/>
        <v>3097.2502586916089</v>
      </c>
      <c r="M187" s="36"/>
      <c r="N187" s="36"/>
    </row>
    <row r="188" spans="1:14">
      <c r="A188" s="34" t="s">
        <v>179</v>
      </c>
      <c r="B188" s="35">
        <v>49970</v>
      </c>
      <c r="C188" s="36"/>
      <c r="D188" s="36">
        <f t="shared" si="45"/>
        <v>9510.8492064138882</v>
      </c>
      <c r="E188" s="36">
        <f t="shared" si="46"/>
        <v>2671450.2928504734</v>
      </c>
      <c r="F188" s="36">
        <f t="shared" si="47"/>
        <v>16526.472793501362</v>
      </c>
      <c r="G188" s="36">
        <f t="shared" si="43"/>
        <v>26037.32199991525</v>
      </c>
      <c r="H188" s="37">
        <f t="shared" si="44"/>
        <v>5166</v>
      </c>
      <c r="I188" s="34" t="str">
        <f t="shared" si="48"/>
        <v>15y</v>
      </c>
      <c r="J188" s="36">
        <f t="shared" si="49"/>
        <v>4015.9748880608195</v>
      </c>
      <c r="K188" s="36"/>
      <c r="L188" s="36">
        <f t="shared" si="50"/>
        <v>3097.2502586916089</v>
      </c>
      <c r="M188" s="36"/>
      <c r="N188" s="36"/>
    </row>
    <row r="189" spans="1:14">
      <c r="A189" s="34" t="s">
        <v>179</v>
      </c>
      <c r="B189" s="35">
        <v>50001</v>
      </c>
      <c r="C189" s="36"/>
      <c r="D189" s="36">
        <f t="shared" si="45"/>
        <v>9020.5495865526464</v>
      </c>
      <c r="E189" s="36">
        <f t="shared" si="46"/>
        <v>2662429.7432639208</v>
      </c>
      <c r="F189" s="36">
        <f t="shared" si="47"/>
        <v>17016.772413362603</v>
      </c>
      <c r="G189" s="36">
        <f t="shared" si="43"/>
        <v>26037.32199991525</v>
      </c>
      <c r="H189" s="37">
        <f t="shared" si="44"/>
        <v>5197</v>
      </c>
      <c r="I189" s="34" t="str">
        <f t="shared" si="48"/>
        <v>15y</v>
      </c>
      <c r="J189" s="36">
        <f t="shared" si="49"/>
        <v>4015.9748880608195</v>
      </c>
      <c r="K189" s="36"/>
      <c r="L189" s="36">
        <f t="shared" si="50"/>
        <v>3097.2502586916089</v>
      </c>
      <c r="M189" s="36"/>
      <c r="N189" s="36"/>
    </row>
    <row r="190" spans="1:14">
      <c r="A190" s="34" t="s">
        <v>179</v>
      </c>
      <c r="B190" s="35">
        <v>50031</v>
      </c>
      <c r="C190" s="36"/>
      <c r="D190" s="36">
        <f t="shared" si="45"/>
        <v>9625.083856507521</v>
      </c>
      <c r="E190" s="36">
        <f t="shared" si="46"/>
        <v>2652804.6594074131</v>
      </c>
      <c r="F190" s="36">
        <f t="shared" si="47"/>
        <v>16412.238143407729</v>
      </c>
      <c r="G190" s="36">
        <f t="shared" si="43"/>
        <v>26037.32199991525</v>
      </c>
      <c r="H190" s="37">
        <f t="shared" si="44"/>
        <v>5227</v>
      </c>
      <c r="I190" s="34" t="str">
        <f t="shared" si="48"/>
        <v>15y</v>
      </c>
      <c r="J190" s="36">
        <f t="shared" si="49"/>
        <v>4015.9748880608195</v>
      </c>
      <c r="K190" s="36"/>
      <c r="L190" s="36">
        <f t="shared" si="50"/>
        <v>3097.2502586916089</v>
      </c>
      <c r="M190" s="36"/>
      <c r="N190" s="36"/>
    </row>
    <row r="191" spans="1:14">
      <c r="A191" s="34" t="s">
        <v>179</v>
      </c>
      <c r="B191" s="35">
        <v>50062</v>
      </c>
      <c r="C191" s="36"/>
      <c r="D191" s="36">
        <f t="shared" si="45"/>
        <v>9139.3197173885783</v>
      </c>
      <c r="E191" s="36">
        <f t="shared" si="46"/>
        <v>2643665.3396900245</v>
      </c>
      <c r="F191" s="36">
        <f t="shared" si="47"/>
        <v>16898.002282526671</v>
      </c>
      <c r="G191" s="36">
        <f t="shared" si="43"/>
        <v>26037.32199991525</v>
      </c>
      <c r="H191" s="37">
        <f t="shared" si="44"/>
        <v>5258</v>
      </c>
      <c r="I191" s="34" t="str">
        <f t="shared" si="48"/>
        <v>15y</v>
      </c>
      <c r="J191" s="36">
        <f t="shared" si="49"/>
        <v>4015.9748880608195</v>
      </c>
      <c r="K191" s="36"/>
      <c r="L191" s="36">
        <f t="shared" si="50"/>
        <v>3097.2502586916089</v>
      </c>
      <c r="M191" s="36"/>
      <c r="N191" s="36"/>
    </row>
    <row r="192" spans="1:14">
      <c r="A192" s="34" t="s">
        <v>179</v>
      </c>
      <c r="B192" s="35">
        <v>50093</v>
      </c>
      <c r="C192" s="36"/>
      <c r="D192" s="36">
        <f t="shared" si="45"/>
        <v>9197.535932026738</v>
      </c>
      <c r="E192" s="36">
        <f t="shared" si="46"/>
        <v>2634467.8037579977</v>
      </c>
      <c r="F192" s="36">
        <f t="shared" si="47"/>
        <v>16839.786067888512</v>
      </c>
      <c r="G192" s="36">
        <f t="shared" si="43"/>
        <v>26037.32199991525</v>
      </c>
      <c r="H192" s="37">
        <f t="shared" si="44"/>
        <v>5289</v>
      </c>
      <c r="I192" s="34" t="str">
        <f t="shared" si="48"/>
        <v>15y</v>
      </c>
      <c r="J192" s="36">
        <f t="shared" si="49"/>
        <v>4015.9748880608195</v>
      </c>
      <c r="K192" s="36"/>
      <c r="L192" s="36">
        <f t="shared" si="50"/>
        <v>3097.2502586916089</v>
      </c>
      <c r="M192" s="36"/>
      <c r="N192" s="36"/>
    </row>
    <row r="193" spans="1:14">
      <c r="A193" s="34" t="s">
        <v>179</v>
      </c>
      <c r="B193" s="35">
        <v>50121</v>
      </c>
      <c r="C193" s="36"/>
      <c r="D193" s="36">
        <f t="shared" si="45"/>
        <v>10880.109978293895</v>
      </c>
      <c r="E193" s="36">
        <f t="shared" si="46"/>
        <v>2623587.6937797037</v>
      </c>
      <c r="F193" s="36">
        <f t="shared" si="47"/>
        <v>15157.212021621355</v>
      </c>
      <c r="G193" s="36">
        <f t="shared" si="43"/>
        <v>26037.32199991525</v>
      </c>
      <c r="H193" s="37">
        <f t="shared" si="44"/>
        <v>5317</v>
      </c>
      <c r="I193" s="34" t="str">
        <f t="shared" si="48"/>
        <v>15y</v>
      </c>
      <c r="J193" s="36">
        <f t="shared" si="49"/>
        <v>4015.9748880608195</v>
      </c>
      <c r="K193" s="36"/>
      <c r="L193" s="36">
        <f t="shared" si="50"/>
        <v>3097.2502586916089</v>
      </c>
      <c r="M193" s="36"/>
      <c r="N193" s="36"/>
    </row>
    <row r="194" spans="1:14">
      <c r="A194" s="34" t="s">
        <v>179</v>
      </c>
      <c r="B194" s="35">
        <v>50152</v>
      </c>
      <c r="C194" s="36"/>
      <c r="D194" s="36">
        <f t="shared" si="45"/>
        <v>9325.4277861130286</v>
      </c>
      <c r="E194" s="36">
        <f t="shared" si="46"/>
        <v>2614262.2659935905</v>
      </c>
      <c r="F194" s="36">
        <f t="shared" si="47"/>
        <v>16711.894213802221</v>
      </c>
      <c r="G194" s="36">
        <f t="shared" si="43"/>
        <v>26037.32199991525</v>
      </c>
      <c r="H194" s="37">
        <f t="shared" si="44"/>
        <v>5348</v>
      </c>
      <c r="I194" s="34" t="str">
        <f t="shared" si="48"/>
        <v>15y</v>
      </c>
      <c r="J194" s="36">
        <f t="shared" si="49"/>
        <v>4015.9748880608195</v>
      </c>
      <c r="K194" s="36"/>
      <c r="L194" s="36">
        <f t="shared" si="50"/>
        <v>3097.2502586916089</v>
      </c>
      <c r="M194" s="36"/>
      <c r="N194" s="36"/>
    </row>
    <row r="195" spans="1:14">
      <c r="A195" s="34" t="s">
        <v>179</v>
      </c>
      <c r="B195" s="35">
        <v>50182</v>
      </c>
      <c r="C195" s="36"/>
      <c r="D195" s="36">
        <f t="shared" si="45"/>
        <v>9922.0066615985979</v>
      </c>
      <c r="E195" s="36">
        <f t="shared" si="46"/>
        <v>2604340.2593319919</v>
      </c>
      <c r="F195" s="36">
        <f t="shared" si="47"/>
        <v>16115.315338316652</v>
      </c>
      <c r="G195" s="36">
        <f t="shared" si="43"/>
        <v>26037.32199991525</v>
      </c>
      <c r="H195" s="37">
        <f t="shared" si="44"/>
        <v>5378</v>
      </c>
      <c r="I195" s="34" t="str">
        <f t="shared" si="48"/>
        <v>15y</v>
      </c>
      <c r="J195" s="36">
        <f t="shared" si="49"/>
        <v>4015.9748880608195</v>
      </c>
      <c r="K195" s="36"/>
      <c r="L195" s="36">
        <f t="shared" si="50"/>
        <v>3097.2502586916089</v>
      </c>
      <c r="M195" s="36"/>
      <c r="N195" s="36"/>
    </row>
    <row r="196" spans="1:14">
      <c r="A196" s="34" t="s">
        <v>179</v>
      </c>
      <c r="B196" s="35">
        <v>50213</v>
      </c>
      <c r="C196" s="36"/>
      <c r="D196" s="36">
        <f t="shared" si="45"/>
        <v>9448.0313069100957</v>
      </c>
      <c r="E196" s="36">
        <f t="shared" si="46"/>
        <v>2594892.2280250816</v>
      </c>
      <c r="F196" s="36">
        <f t="shared" si="47"/>
        <v>16589.290693005154</v>
      </c>
      <c r="G196" s="36">
        <f t="shared" si="43"/>
        <v>26037.32199991525</v>
      </c>
      <c r="H196" s="37">
        <f t="shared" si="44"/>
        <v>5409</v>
      </c>
      <c r="I196" s="34" t="str">
        <f t="shared" si="48"/>
        <v>15y</v>
      </c>
      <c r="J196" s="36">
        <f t="shared" si="49"/>
        <v>4015.9748880608195</v>
      </c>
      <c r="K196" s="36"/>
      <c r="L196" s="36">
        <f t="shared" si="50"/>
        <v>3097.2502586916089</v>
      </c>
      <c r="M196" s="36"/>
      <c r="N196" s="36"/>
    </row>
    <row r="197" spans="1:14">
      <c r="A197" s="34" t="s">
        <v>179</v>
      </c>
      <c r="B197" s="35">
        <v>50243</v>
      </c>
      <c r="C197" s="36"/>
      <c r="D197" s="36">
        <f t="shared" si="45"/>
        <v>10041.41100524009</v>
      </c>
      <c r="E197" s="36">
        <f t="shared" si="46"/>
        <v>2584850.8170198416</v>
      </c>
      <c r="F197" s="36">
        <f t="shared" si="47"/>
        <v>15995.91099467516</v>
      </c>
      <c r="G197" s="36">
        <f t="shared" si="43"/>
        <v>26037.32199991525</v>
      </c>
      <c r="H197" s="37">
        <f t="shared" si="44"/>
        <v>5439</v>
      </c>
      <c r="I197" s="34" t="str">
        <f t="shared" si="48"/>
        <v>15y</v>
      </c>
      <c r="J197" s="36">
        <f t="shared" si="49"/>
        <v>4015.9748880608195</v>
      </c>
      <c r="K197" s="36"/>
      <c r="L197" s="36">
        <f t="shared" si="50"/>
        <v>3097.2502586916089</v>
      </c>
      <c r="M197" s="36"/>
      <c r="N197" s="36"/>
    </row>
    <row r="198" spans="1:14">
      <c r="A198" s="34" t="s">
        <v>179</v>
      </c>
      <c r="B198" s="35">
        <v>50274</v>
      </c>
      <c r="C198" s="36"/>
      <c r="D198" s="36">
        <f t="shared" si="45"/>
        <v>9572.176384651877</v>
      </c>
      <c r="E198" s="36">
        <f t="shared" si="46"/>
        <v>2575278.6406351896</v>
      </c>
      <c r="F198" s="36">
        <f t="shared" si="47"/>
        <v>16465.145615263373</v>
      </c>
      <c r="G198" s="36">
        <f t="shared" si="43"/>
        <v>26037.32199991525</v>
      </c>
      <c r="H198" s="37">
        <f t="shared" si="44"/>
        <v>5470</v>
      </c>
      <c r="I198" s="34" t="str">
        <f t="shared" si="48"/>
        <v>15y</v>
      </c>
      <c r="J198" s="36">
        <f t="shared" si="49"/>
        <v>4015.9748880608195</v>
      </c>
      <c r="K198" s="36"/>
      <c r="L198" s="36">
        <f t="shared" si="50"/>
        <v>3097.2502586916089</v>
      </c>
      <c r="M198" s="36"/>
      <c r="N198" s="36"/>
    </row>
    <row r="199" spans="1:14">
      <c r="A199" s="34" t="s">
        <v>179</v>
      </c>
      <c r="B199" s="35">
        <v>50305</v>
      </c>
      <c r="C199" s="36"/>
      <c r="D199" s="36">
        <f t="shared" si="45"/>
        <v>9633.1498369650726</v>
      </c>
      <c r="E199" s="36">
        <f t="shared" si="46"/>
        <v>2565645.4907982247</v>
      </c>
      <c r="F199" s="36">
        <f t="shared" si="47"/>
        <v>16404.172162950177</v>
      </c>
      <c r="G199" s="36">
        <f t="shared" si="43"/>
        <v>26037.32199991525</v>
      </c>
      <c r="H199" s="37">
        <f t="shared" si="44"/>
        <v>5501</v>
      </c>
      <c r="I199" s="34" t="str">
        <f t="shared" ref="I199:I230" si="51">$T$5</f>
        <v>20y</v>
      </c>
      <c r="J199" s="36">
        <f t="shared" ref="J199:J230" si="52">G199*$T$9</f>
        <v>1881.4343682067836</v>
      </c>
      <c r="K199" s="36"/>
      <c r="L199" s="36">
        <f t="shared" ref="L199:L230" si="53">G199*$T$11</f>
        <v>1272.6324140642701</v>
      </c>
      <c r="M199" s="36"/>
      <c r="N199" s="36"/>
    </row>
    <row r="200" spans="1:14">
      <c r="A200" s="34" t="s">
        <v>179</v>
      </c>
      <c r="B200" s="35">
        <v>50335</v>
      </c>
      <c r="C200" s="36"/>
      <c r="D200" s="36">
        <f t="shared" si="45"/>
        <v>10221.699111433045</v>
      </c>
      <c r="E200" s="36">
        <f t="shared" si="46"/>
        <v>2555423.7916867915</v>
      </c>
      <c r="F200" s="36">
        <f t="shared" si="47"/>
        <v>15815.622888482205</v>
      </c>
      <c r="G200" s="36">
        <f t="shared" si="43"/>
        <v>26037.32199991525</v>
      </c>
      <c r="H200" s="37">
        <f t="shared" si="44"/>
        <v>5531</v>
      </c>
      <c r="I200" s="34" t="str">
        <f t="shared" si="51"/>
        <v>20y</v>
      </c>
      <c r="J200" s="36">
        <f t="shared" si="52"/>
        <v>1881.4343682067836</v>
      </c>
      <c r="K200" s="36"/>
      <c r="L200" s="36">
        <f t="shared" si="53"/>
        <v>1272.6324140642701</v>
      </c>
      <c r="M200" s="36"/>
      <c r="N200" s="36"/>
    </row>
    <row r="201" spans="1:14">
      <c r="A201" s="34" t="s">
        <v>179</v>
      </c>
      <c r="B201" s="35">
        <v>50366</v>
      </c>
      <c r="C201" s="36"/>
      <c r="D201" s="36">
        <f t="shared" si="45"/>
        <v>9759.6225049240456</v>
      </c>
      <c r="E201" s="36">
        <f t="shared" si="46"/>
        <v>2545664.1691818675</v>
      </c>
      <c r="F201" s="36">
        <f t="shared" si="47"/>
        <v>16277.699494991204</v>
      </c>
      <c r="G201" s="36">
        <f t="shared" si="43"/>
        <v>26037.32199991525</v>
      </c>
      <c r="H201" s="37">
        <f t="shared" si="44"/>
        <v>5562</v>
      </c>
      <c r="I201" s="34" t="str">
        <f t="shared" si="51"/>
        <v>20y</v>
      </c>
      <c r="J201" s="36">
        <f t="shared" si="52"/>
        <v>1881.4343682067836</v>
      </c>
      <c r="K201" s="36"/>
      <c r="L201" s="36">
        <f t="shared" si="53"/>
        <v>1272.6324140642701</v>
      </c>
      <c r="M201" s="36"/>
      <c r="N201" s="36"/>
    </row>
    <row r="202" spans="1:14">
      <c r="A202" s="34" t="s">
        <v>179</v>
      </c>
      <c r="B202" s="35">
        <v>50396</v>
      </c>
      <c r="C202" s="36"/>
      <c r="D202" s="36">
        <f t="shared" si="45"/>
        <v>10344.871641944836</v>
      </c>
      <c r="E202" s="36">
        <f t="shared" si="46"/>
        <v>2535319.2975399229</v>
      </c>
      <c r="F202" s="36">
        <f t="shared" si="47"/>
        <v>15692.450357970414</v>
      </c>
      <c r="G202" s="36">
        <f t="shared" si="43"/>
        <v>26037.32199991525</v>
      </c>
      <c r="H202" s="37">
        <f t="shared" si="44"/>
        <v>5592</v>
      </c>
      <c r="I202" s="34" t="str">
        <f t="shared" si="51"/>
        <v>20y</v>
      </c>
      <c r="J202" s="36">
        <f t="shared" si="52"/>
        <v>1881.4343682067836</v>
      </c>
      <c r="K202" s="36"/>
      <c r="L202" s="36">
        <f t="shared" si="53"/>
        <v>1272.6324140642701</v>
      </c>
      <c r="M202" s="36"/>
      <c r="N202" s="36"/>
    </row>
    <row r="203" spans="1:14">
      <c r="A203" s="34" t="s">
        <v>179</v>
      </c>
      <c r="B203" s="35">
        <v>50427</v>
      </c>
      <c r="C203" s="36"/>
      <c r="D203" s="36">
        <f t="shared" si="45"/>
        <v>9887.6853785993044</v>
      </c>
      <c r="E203" s="36">
        <f t="shared" si="46"/>
        <v>2525431.6121613234</v>
      </c>
      <c r="F203" s="36">
        <f t="shared" si="47"/>
        <v>16149.636621315945</v>
      </c>
      <c r="G203" s="36">
        <f t="shared" si="43"/>
        <v>26037.32199991525</v>
      </c>
      <c r="H203" s="37">
        <f t="shared" si="44"/>
        <v>5623</v>
      </c>
      <c r="I203" s="34" t="str">
        <f t="shared" si="51"/>
        <v>20y</v>
      </c>
      <c r="J203" s="36">
        <f t="shared" si="52"/>
        <v>1881.4343682067836</v>
      </c>
      <c r="K203" s="36"/>
      <c r="L203" s="36">
        <f t="shared" si="53"/>
        <v>1272.6324140642701</v>
      </c>
      <c r="M203" s="36"/>
      <c r="N203" s="36"/>
    </row>
    <row r="204" spans="1:14">
      <c r="A204" s="34" t="s">
        <v>179</v>
      </c>
      <c r="B204" s="35">
        <v>50458</v>
      </c>
      <c r="C204" s="36"/>
      <c r="D204" s="36">
        <f t="shared" si="45"/>
        <v>9950.6685799835323</v>
      </c>
      <c r="E204" s="36">
        <f t="shared" si="46"/>
        <v>2515480.9435813399</v>
      </c>
      <c r="F204" s="36">
        <f t="shared" si="47"/>
        <v>16086.653419931718</v>
      </c>
      <c r="G204" s="36">
        <f t="shared" si="43"/>
        <v>26037.32199991525</v>
      </c>
      <c r="H204" s="37">
        <f t="shared" si="44"/>
        <v>5654</v>
      </c>
      <c r="I204" s="34" t="str">
        <f t="shared" si="51"/>
        <v>20y</v>
      </c>
      <c r="J204" s="36">
        <f t="shared" si="52"/>
        <v>1881.4343682067836</v>
      </c>
      <c r="K204" s="36"/>
      <c r="L204" s="36">
        <f t="shared" si="53"/>
        <v>1272.6324140642701</v>
      </c>
      <c r="M204" s="36"/>
      <c r="N204" s="36"/>
    </row>
    <row r="205" spans="1:14">
      <c r="A205" s="34" t="s">
        <v>179</v>
      </c>
      <c r="B205" s="35">
        <v>50486</v>
      </c>
      <c r="C205" s="36"/>
      <c r="D205" s="36">
        <f t="shared" si="45"/>
        <v>11564.691913556857</v>
      </c>
      <c r="E205" s="36">
        <f t="shared" si="46"/>
        <v>2503916.2516677831</v>
      </c>
      <c r="F205" s="36">
        <f t="shared" si="47"/>
        <v>14472.630086358393</v>
      </c>
      <c r="G205" s="36">
        <f t="shared" si="43"/>
        <v>26037.32199991525</v>
      </c>
      <c r="H205" s="37">
        <f t="shared" si="44"/>
        <v>5682</v>
      </c>
      <c r="I205" s="34" t="str">
        <f t="shared" si="51"/>
        <v>20y</v>
      </c>
      <c r="J205" s="36">
        <f t="shared" si="52"/>
        <v>1881.4343682067836</v>
      </c>
      <c r="K205" s="36"/>
      <c r="L205" s="36">
        <f t="shared" si="53"/>
        <v>1272.6324140642701</v>
      </c>
      <c r="M205" s="36"/>
      <c r="N205" s="36"/>
    </row>
    <row r="206" spans="1:14">
      <c r="A206" s="34" t="s">
        <v>179</v>
      </c>
      <c r="B206" s="35">
        <v>50517</v>
      </c>
      <c r="C206" s="36"/>
      <c r="D206" s="36">
        <f t="shared" si="45"/>
        <v>10087.718479017729</v>
      </c>
      <c r="E206" s="36">
        <f t="shared" si="46"/>
        <v>2493828.5331887654</v>
      </c>
      <c r="F206" s="36">
        <f t="shared" si="47"/>
        <v>15949.603520897521</v>
      </c>
      <c r="G206" s="36">
        <f t="shared" si="43"/>
        <v>26037.32199991525</v>
      </c>
      <c r="H206" s="37">
        <f t="shared" si="44"/>
        <v>5713</v>
      </c>
      <c r="I206" s="34" t="str">
        <f t="shared" si="51"/>
        <v>20y</v>
      </c>
      <c r="J206" s="36">
        <f t="shared" si="52"/>
        <v>1881.4343682067836</v>
      </c>
      <c r="K206" s="36"/>
      <c r="L206" s="36">
        <f t="shared" si="53"/>
        <v>1272.6324140642701</v>
      </c>
      <c r="M206" s="36"/>
      <c r="N206" s="36"/>
    </row>
    <row r="207" spans="1:14">
      <c r="A207" s="34" t="s">
        <v>179</v>
      </c>
      <c r="B207" s="35">
        <v>50547</v>
      </c>
      <c r="C207" s="36"/>
      <c r="D207" s="36">
        <f t="shared" si="45"/>
        <v>10664.406384368067</v>
      </c>
      <c r="E207" s="36">
        <f t="shared" si="46"/>
        <v>2483164.1268043974</v>
      </c>
      <c r="F207" s="36">
        <f t="shared" si="47"/>
        <v>15372.915615547183</v>
      </c>
      <c r="G207" s="36">
        <f t="shared" si="43"/>
        <v>26037.32199991525</v>
      </c>
      <c r="H207" s="37">
        <f t="shared" si="44"/>
        <v>5743</v>
      </c>
      <c r="I207" s="34" t="str">
        <f t="shared" si="51"/>
        <v>20y</v>
      </c>
      <c r="J207" s="36">
        <f t="shared" si="52"/>
        <v>1881.4343682067836</v>
      </c>
      <c r="K207" s="36"/>
      <c r="L207" s="36">
        <f t="shared" si="53"/>
        <v>1272.6324140642701</v>
      </c>
      <c r="M207" s="36"/>
      <c r="N207" s="36"/>
    </row>
    <row r="208" spans="1:14">
      <c r="A208" s="34" t="s">
        <v>179</v>
      </c>
      <c r="B208" s="35">
        <v>50578</v>
      </c>
      <c r="C208" s="36"/>
      <c r="D208" s="36">
        <f t="shared" si="45"/>
        <v>10219.906671640665</v>
      </c>
      <c r="E208" s="36">
        <f t="shared" si="46"/>
        <v>2472944.220132757</v>
      </c>
      <c r="F208" s="36">
        <f t="shared" si="47"/>
        <v>15817.415328274585</v>
      </c>
      <c r="G208" s="36">
        <f t="shared" si="43"/>
        <v>26037.32199991525</v>
      </c>
      <c r="H208" s="37">
        <f t="shared" si="44"/>
        <v>5774</v>
      </c>
      <c r="I208" s="34" t="str">
        <f t="shared" si="51"/>
        <v>20y</v>
      </c>
      <c r="J208" s="36">
        <f t="shared" si="52"/>
        <v>1881.4343682067836</v>
      </c>
      <c r="K208" s="36"/>
      <c r="L208" s="36">
        <f t="shared" si="53"/>
        <v>1272.6324140642701</v>
      </c>
      <c r="M208" s="36"/>
      <c r="N208" s="36"/>
    </row>
    <row r="209" spans="1:14">
      <c r="A209" s="34" t="s">
        <v>179</v>
      </c>
      <c r="B209" s="35">
        <v>50608</v>
      </c>
      <c r="C209" s="36"/>
      <c r="D209" s="36">
        <f t="shared" si="45"/>
        <v>10793.145300466751</v>
      </c>
      <c r="E209" s="36">
        <f t="shared" si="46"/>
        <v>2462151.0748322904</v>
      </c>
      <c r="F209" s="36">
        <f t="shared" si="47"/>
        <v>15244.176699448499</v>
      </c>
      <c r="G209" s="36">
        <f t="shared" si="43"/>
        <v>26037.32199991525</v>
      </c>
      <c r="H209" s="37">
        <f t="shared" si="44"/>
        <v>5804</v>
      </c>
      <c r="I209" s="34" t="str">
        <f t="shared" si="51"/>
        <v>20y</v>
      </c>
      <c r="J209" s="36">
        <f t="shared" si="52"/>
        <v>1881.4343682067836</v>
      </c>
      <c r="K209" s="36"/>
      <c r="L209" s="36">
        <f t="shared" si="53"/>
        <v>1272.6324140642701</v>
      </c>
      <c r="M209" s="36"/>
      <c r="N209" s="36"/>
    </row>
    <row r="210" spans="1:14">
      <c r="A210" s="34" t="s">
        <v>179</v>
      </c>
      <c r="B210" s="35">
        <v>50639</v>
      </c>
      <c r="C210" s="36"/>
      <c r="D210" s="36">
        <f t="shared" si="45"/>
        <v>10353.756934202716</v>
      </c>
      <c r="E210" s="36">
        <f t="shared" si="46"/>
        <v>2451797.3178980877</v>
      </c>
      <c r="F210" s="36">
        <f t="shared" si="47"/>
        <v>15683.565065712533</v>
      </c>
      <c r="G210" s="36">
        <f t="shared" si="43"/>
        <v>26037.32199991525</v>
      </c>
      <c r="H210" s="37">
        <f t="shared" si="44"/>
        <v>5835</v>
      </c>
      <c r="I210" s="34" t="str">
        <f t="shared" si="51"/>
        <v>20y</v>
      </c>
      <c r="J210" s="36">
        <f t="shared" si="52"/>
        <v>1881.4343682067836</v>
      </c>
      <c r="K210" s="36"/>
      <c r="L210" s="36">
        <f t="shared" si="53"/>
        <v>1272.6324140642701</v>
      </c>
      <c r="M210" s="36"/>
      <c r="N210" s="36"/>
    </row>
    <row r="211" spans="1:14">
      <c r="A211" s="34" t="s">
        <v>179</v>
      </c>
      <c r="B211" s="35">
        <v>50670</v>
      </c>
      <c r="C211" s="36"/>
      <c r="D211" s="36">
        <f t="shared" si="45"/>
        <v>10419.70894755072</v>
      </c>
      <c r="E211" s="36">
        <f t="shared" si="46"/>
        <v>2441377.6089505372</v>
      </c>
      <c r="F211" s="36">
        <f t="shared" si="47"/>
        <v>15617.61305236453</v>
      </c>
      <c r="G211" s="36">
        <f t="shared" ref="G211:G274" si="54">SUM(D211,F211)</f>
        <v>26037.32199991525</v>
      </c>
      <c r="H211" s="37">
        <f t="shared" ref="H211:H274" si="55">B211-$A$3</f>
        <v>5866</v>
      </c>
      <c r="I211" s="34" t="str">
        <f t="shared" si="51"/>
        <v>20y</v>
      </c>
      <c r="J211" s="36">
        <f t="shared" si="52"/>
        <v>1881.4343682067836</v>
      </c>
      <c r="K211" s="36"/>
      <c r="L211" s="36">
        <f t="shared" si="53"/>
        <v>1272.6324140642701</v>
      </c>
      <c r="M211" s="36"/>
      <c r="N211" s="36"/>
    </row>
    <row r="212" spans="1:14">
      <c r="A212" s="34" t="s">
        <v>179</v>
      </c>
      <c r="B212" s="35">
        <v>50700</v>
      </c>
      <c r="C212" s="36"/>
      <c r="D212" s="36">
        <f t="shared" ref="D212:D275" si="56">$B$14-F212</f>
        <v>10987.733999535229</v>
      </c>
      <c r="E212" s="36">
        <f t="shared" ref="E212:E275" si="57">E211-D212</f>
        <v>2430389.8749510017</v>
      </c>
      <c r="F212" s="36">
        <f t="shared" si="47"/>
        <v>15049.588000380021</v>
      </c>
      <c r="G212" s="36">
        <f t="shared" si="54"/>
        <v>26037.32199991525</v>
      </c>
      <c r="H212" s="37">
        <f t="shared" si="55"/>
        <v>5896</v>
      </c>
      <c r="I212" s="34" t="str">
        <f t="shared" si="51"/>
        <v>20y</v>
      </c>
      <c r="J212" s="36">
        <f t="shared" si="52"/>
        <v>1881.4343682067836</v>
      </c>
      <c r="K212" s="36"/>
      <c r="L212" s="36">
        <f t="shared" si="53"/>
        <v>1272.6324140642701</v>
      </c>
      <c r="M212" s="36"/>
      <c r="N212" s="36"/>
    </row>
    <row r="213" spans="1:14">
      <c r="A213" s="34" t="s">
        <v>179</v>
      </c>
      <c r="B213" s="35">
        <v>50731</v>
      </c>
      <c r="C213" s="36"/>
      <c r="D213" s="36">
        <f t="shared" si="56"/>
        <v>10556.071426597226</v>
      </c>
      <c r="E213" s="36">
        <f t="shared" si="57"/>
        <v>2419833.8035244043</v>
      </c>
      <c r="F213" s="36">
        <f t="shared" ref="F213:F276" si="58">E212*$J$3*((B213-B212)/365)</f>
        <v>15481.250573318024</v>
      </c>
      <c r="G213" s="36">
        <f t="shared" si="54"/>
        <v>26037.32199991525</v>
      </c>
      <c r="H213" s="37">
        <f t="shared" si="55"/>
        <v>5927</v>
      </c>
      <c r="I213" s="34" t="str">
        <f t="shared" si="51"/>
        <v>20y</v>
      </c>
      <c r="J213" s="36">
        <f t="shared" si="52"/>
        <v>1881.4343682067836</v>
      </c>
      <c r="K213" s="36"/>
      <c r="L213" s="36">
        <f t="shared" si="53"/>
        <v>1272.6324140642701</v>
      </c>
      <c r="M213" s="36"/>
      <c r="N213" s="36"/>
    </row>
    <row r="214" spans="1:14">
      <c r="A214" s="34" t="s">
        <v>179</v>
      </c>
      <c r="B214" s="35">
        <v>50761</v>
      </c>
      <c r="C214" s="36"/>
      <c r="D214" s="36">
        <f t="shared" si="56"/>
        <v>11120.538279559336</v>
      </c>
      <c r="E214" s="36">
        <f t="shared" si="57"/>
        <v>2408713.2652448448</v>
      </c>
      <c r="F214" s="36">
        <f t="shared" si="58"/>
        <v>14916.783720355914</v>
      </c>
      <c r="G214" s="36">
        <f t="shared" si="54"/>
        <v>26037.32199991525</v>
      </c>
      <c r="H214" s="37">
        <f t="shared" si="55"/>
        <v>5957</v>
      </c>
      <c r="I214" s="34" t="str">
        <f t="shared" si="51"/>
        <v>20y</v>
      </c>
      <c r="J214" s="36">
        <f t="shared" si="52"/>
        <v>1881.4343682067836</v>
      </c>
      <c r="K214" s="36"/>
      <c r="L214" s="36">
        <f t="shared" si="53"/>
        <v>1272.6324140642701</v>
      </c>
      <c r="M214" s="36"/>
      <c r="N214" s="36"/>
    </row>
    <row r="215" spans="1:14">
      <c r="A215" s="34" t="s">
        <v>179</v>
      </c>
      <c r="B215" s="35">
        <v>50792</v>
      </c>
      <c r="C215" s="36"/>
      <c r="D215" s="36">
        <f t="shared" si="56"/>
        <v>10694.148461026856</v>
      </c>
      <c r="E215" s="36">
        <f t="shared" si="57"/>
        <v>2398019.1167838178</v>
      </c>
      <c r="F215" s="36">
        <f t="shared" si="58"/>
        <v>15343.173538888394</v>
      </c>
      <c r="G215" s="36">
        <f t="shared" si="54"/>
        <v>26037.32199991525</v>
      </c>
      <c r="H215" s="37">
        <f t="shared" si="55"/>
        <v>5988</v>
      </c>
      <c r="I215" s="34" t="str">
        <f t="shared" si="51"/>
        <v>20y</v>
      </c>
      <c r="J215" s="36">
        <f t="shared" si="52"/>
        <v>1881.4343682067836</v>
      </c>
      <c r="K215" s="36"/>
      <c r="L215" s="36">
        <f t="shared" si="53"/>
        <v>1272.6324140642701</v>
      </c>
      <c r="M215" s="36"/>
      <c r="N215" s="36"/>
    </row>
    <row r="216" spans="1:14">
      <c r="A216" s="34" t="s">
        <v>179</v>
      </c>
      <c r="B216" s="35">
        <v>50823</v>
      </c>
      <c r="C216" s="36"/>
      <c r="D216" s="36">
        <f t="shared" si="56"/>
        <v>10762.268721771754</v>
      </c>
      <c r="E216" s="36">
        <f t="shared" si="57"/>
        <v>2387256.8480620459</v>
      </c>
      <c r="F216" s="36">
        <f t="shared" si="58"/>
        <v>15275.053278143496</v>
      </c>
      <c r="G216" s="36">
        <f t="shared" si="54"/>
        <v>26037.32199991525</v>
      </c>
      <c r="H216" s="37">
        <f t="shared" si="55"/>
        <v>6019</v>
      </c>
      <c r="I216" s="34" t="str">
        <f t="shared" si="51"/>
        <v>20y</v>
      </c>
      <c r="J216" s="36">
        <f t="shared" si="52"/>
        <v>1881.4343682067836</v>
      </c>
      <c r="K216" s="36"/>
      <c r="L216" s="36">
        <f t="shared" si="53"/>
        <v>1272.6324140642701</v>
      </c>
      <c r="M216" s="36"/>
      <c r="N216" s="36"/>
    </row>
    <row r="217" spans="1:14">
      <c r="A217" s="34" t="s">
        <v>179</v>
      </c>
      <c r="B217" s="35">
        <v>50851</v>
      </c>
      <c r="C217" s="36"/>
      <c r="D217" s="36">
        <f t="shared" si="56"/>
        <v>12302.419586407588</v>
      </c>
      <c r="E217" s="36">
        <f t="shared" si="57"/>
        <v>2374954.4284756384</v>
      </c>
      <c r="F217" s="36">
        <f t="shared" si="58"/>
        <v>13734.902413507662</v>
      </c>
      <c r="G217" s="36">
        <f t="shared" si="54"/>
        <v>26037.32199991525</v>
      </c>
      <c r="H217" s="37">
        <f t="shared" si="55"/>
        <v>6047</v>
      </c>
      <c r="I217" s="34" t="str">
        <f t="shared" si="51"/>
        <v>20y</v>
      </c>
      <c r="J217" s="36">
        <f t="shared" si="52"/>
        <v>1881.4343682067836</v>
      </c>
      <c r="K217" s="36"/>
      <c r="L217" s="36">
        <f t="shared" si="53"/>
        <v>1272.6324140642701</v>
      </c>
      <c r="M217" s="36"/>
      <c r="N217" s="36"/>
    </row>
    <row r="218" spans="1:14">
      <c r="A218" s="34" t="s">
        <v>179</v>
      </c>
      <c r="B218" s="35">
        <v>50882</v>
      </c>
      <c r="C218" s="36"/>
      <c r="D218" s="36">
        <f t="shared" si="56"/>
        <v>10909.187626748511</v>
      </c>
      <c r="E218" s="36">
        <f t="shared" si="57"/>
        <v>2364045.24084889</v>
      </c>
      <c r="F218" s="36">
        <f t="shared" si="58"/>
        <v>15128.134373166738</v>
      </c>
      <c r="G218" s="36">
        <f t="shared" si="54"/>
        <v>26037.32199991525</v>
      </c>
      <c r="H218" s="37">
        <f t="shared" si="55"/>
        <v>6078</v>
      </c>
      <c r="I218" s="34" t="str">
        <f t="shared" si="51"/>
        <v>20y</v>
      </c>
      <c r="J218" s="36">
        <f t="shared" si="52"/>
        <v>1881.4343682067836</v>
      </c>
      <c r="K218" s="36"/>
      <c r="L218" s="36">
        <f t="shared" si="53"/>
        <v>1272.6324140642701</v>
      </c>
      <c r="M218" s="36"/>
      <c r="N218" s="36"/>
    </row>
    <row r="219" spans="1:14">
      <c r="A219" s="34" t="s">
        <v>179</v>
      </c>
      <c r="B219" s="35">
        <v>50912</v>
      </c>
      <c r="C219" s="36"/>
      <c r="D219" s="36">
        <f t="shared" si="56"/>
        <v>11464.440378244011</v>
      </c>
      <c r="E219" s="36">
        <f t="shared" si="57"/>
        <v>2352580.800470646</v>
      </c>
      <c r="F219" s="36">
        <f t="shared" si="58"/>
        <v>14572.881621671238</v>
      </c>
      <c r="G219" s="36">
        <f t="shared" si="54"/>
        <v>26037.32199991525</v>
      </c>
      <c r="H219" s="37">
        <f t="shared" si="55"/>
        <v>6108</v>
      </c>
      <c r="I219" s="34" t="str">
        <f t="shared" si="51"/>
        <v>20y</v>
      </c>
      <c r="J219" s="36">
        <f t="shared" si="52"/>
        <v>1881.4343682067836</v>
      </c>
      <c r="K219" s="36"/>
      <c r="L219" s="36">
        <f t="shared" si="53"/>
        <v>1272.6324140642701</v>
      </c>
      <c r="M219" s="36"/>
      <c r="N219" s="36"/>
    </row>
    <row r="220" spans="1:14">
      <c r="A220" s="34" t="s">
        <v>179</v>
      </c>
      <c r="B220" s="35">
        <v>50943</v>
      </c>
      <c r="C220" s="36"/>
      <c r="D220" s="36">
        <f t="shared" si="56"/>
        <v>11051.704572259767</v>
      </c>
      <c r="E220" s="36">
        <f t="shared" si="57"/>
        <v>2341529.0958983861</v>
      </c>
      <c r="F220" s="36">
        <f t="shared" si="58"/>
        <v>14985.617427655483</v>
      </c>
      <c r="G220" s="36">
        <f t="shared" si="54"/>
        <v>26037.32199991525</v>
      </c>
      <c r="H220" s="37">
        <f t="shared" si="55"/>
        <v>6139</v>
      </c>
      <c r="I220" s="34" t="str">
        <f t="shared" si="51"/>
        <v>20y</v>
      </c>
      <c r="J220" s="36">
        <f t="shared" si="52"/>
        <v>1881.4343682067836</v>
      </c>
      <c r="K220" s="36"/>
      <c r="L220" s="36">
        <f t="shared" si="53"/>
        <v>1272.6324140642701</v>
      </c>
      <c r="M220" s="36"/>
      <c r="N220" s="36"/>
    </row>
    <row r="221" spans="1:14">
      <c r="A221" s="34" t="s">
        <v>179</v>
      </c>
      <c r="B221" s="35">
        <v>50973</v>
      </c>
      <c r="C221" s="36"/>
      <c r="D221" s="36">
        <f t="shared" si="56"/>
        <v>11603.238532048488</v>
      </c>
      <c r="E221" s="36">
        <f t="shared" si="57"/>
        <v>2329925.8573663374</v>
      </c>
      <c r="F221" s="36">
        <f t="shared" si="58"/>
        <v>14434.083467866762</v>
      </c>
      <c r="G221" s="36">
        <f t="shared" si="54"/>
        <v>26037.32199991525</v>
      </c>
      <c r="H221" s="37">
        <f t="shared" si="55"/>
        <v>6169</v>
      </c>
      <c r="I221" s="34" t="str">
        <f t="shared" si="51"/>
        <v>20y</v>
      </c>
      <c r="J221" s="36">
        <f t="shared" si="52"/>
        <v>1881.4343682067836</v>
      </c>
      <c r="K221" s="36"/>
      <c r="L221" s="36">
        <f t="shared" si="53"/>
        <v>1272.6324140642701</v>
      </c>
      <c r="M221" s="36"/>
      <c r="N221" s="36"/>
    </row>
    <row r="222" spans="1:14">
      <c r="A222" s="34" t="s">
        <v>179</v>
      </c>
      <c r="B222" s="35">
        <v>51004</v>
      </c>
      <c r="C222" s="36"/>
      <c r="D222" s="36">
        <f t="shared" si="56"/>
        <v>11196.013456417348</v>
      </c>
      <c r="E222" s="36">
        <f t="shared" si="57"/>
        <v>2318729.8439099202</v>
      </c>
      <c r="F222" s="36">
        <f t="shared" si="58"/>
        <v>14841.308543497902</v>
      </c>
      <c r="G222" s="36">
        <f t="shared" si="54"/>
        <v>26037.32199991525</v>
      </c>
      <c r="H222" s="37">
        <f t="shared" si="55"/>
        <v>6200</v>
      </c>
      <c r="I222" s="34" t="str">
        <f t="shared" si="51"/>
        <v>20y</v>
      </c>
      <c r="J222" s="36">
        <f t="shared" si="52"/>
        <v>1881.4343682067836</v>
      </c>
      <c r="K222" s="36"/>
      <c r="L222" s="36">
        <f t="shared" si="53"/>
        <v>1272.6324140642701</v>
      </c>
      <c r="M222" s="36"/>
      <c r="N222" s="36"/>
    </row>
    <row r="223" spans="1:14">
      <c r="A223" s="34" t="s">
        <v>179</v>
      </c>
      <c r="B223" s="35">
        <v>51035</v>
      </c>
      <c r="C223" s="36"/>
      <c r="D223" s="36">
        <f t="shared" si="56"/>
        <v>11267.330528434251</v>
      </c>
      <c r="E223" s="36">
        <f t="shared" si="57"/>
        <v>2307462.5133814858</v>
      </c>
      <c r="F223" s="36">
        <f t="shared" si="58"/>
        <v>14769.991471480998</v>
      </c>
      <c r="G223" s="36">
        <f t="shared" si="54"/>
        <v>26037.32199991525</v>
      </c>
      <c r="H223" s="37">
        <f t="shared" si="55"/>
        <v>6231</v>
      </c>
      <c r="I223" s="34" t="str">
        <f t="shared" si="51"/>
        <v>20y</v>
      </c>
      <c r="J223" s="36">
        <f t="shared" si="52"/>
        <v>1881.4343682067836</v>
      </c>
      <c r="K223" s="36"/>
      <c r="L223" s="36">
        <f t="shared" si="53"/>
        <v>1272.6324140642701</v>
      </c>
      <c r="M223" s="36"/>
      <c r="N223" s="36"/>
    </row>
    <row r="224" spans="1:14">
      <c r="A224" s="34" t="s">
        <v>179</v>
      </c>
      <c r="B224" s="35">
        <v>51065</v>
      </c>
      <c r="C224" s="36"/>
      <c r="D224" s="36">
        <f t="shared" si="56"/>
        <v>11813.238013317052</v>
      </c>
      <c r="E224" s="36">
        <f t="shared" si="57"/>
        <v>2295649.275368169</v>
      </c>
      <c r="F224" s="36">
        <f t="shared" si="58"/>
        <v>14224.083986598198</v>
      </c>
      <c r="G224" s="36">
        <f t="shared" si="54"/>
        <v>26037.32199991525</v>
      </c>
      <c r="H224" s="37">
        <f t="shared" si="55"/>
        <v>6261</v>
      </c>
      <c r="I224" s="34" t="str">
        <f t="shared" si="51"/>
        <v>20y</v>
      </c>
      <c r="J224" s="36">
        <f t="shared" si="52"/>
        <v>1881.4343682067836</v>
      </c>
      <c r="K224" s="36"/>
      <c r="L224" s="36">
        <f t="shared" si="53"/>
        <v>1272.6324140642701</v>
      </c>
      <c r="M224" s="36"/>
      <c r="N224" s="36"/>
    </row>
    <row r="225" spans="1:14">
      <c r="A225" s="34" t="s">
        <v>179</v>
      </c>
      <c r="B225" s="35">
        <v>51096</v>
      </c>
      <c r="C225" s="36"/>
      <c r="D225" s="36">
        <f t="shared" si="56"/>
        <v>11414.35058832349</v>
      </c>
      <c r="E225" s="36">
        <f t="shared" si="57"/>
        <v>2284234.9247798454</v>
      </c>
      <c r="F225" s="36">
        <f t="shared" si="58"/>
        <v>14622.97141159176</v>
      </c>
      <c r="G225" s="36">
        <f t="shared" si="54"/>
        <v>26037.32199991525</v>
      </c>
      <c r="H225" s="37">
        <f t="shared" si="55"/>
        <v>6292</v>
      </c>
      <c r="I225" s="34" t="str">
        <f t="shared" si="51"/>
        <v>20y</v>
      </c>
      <c r="J225" s="36">
        <f t="shared" si="52"/>
        <v>1881.4343682067836</v>
      </c>
      <c r="K225" s="36"/>
      <c r="L225" s="36">
        <f t="shared" si="53"/>
        <v>1272.6324140642701</v>
      </c>
      <c r="M225" s="36"/>
      <c r="N225" s="36"/>
    </row>
    <row r="226" spans="1:14">
      <c r="A226" s="34" t="s">
        <v>179</v>
      </c>
      <c r="B226" s="35">
        <v>51126</v>
      </c>
      <c r="C226" s="36"/>
      <c r="D226" s="36">
        <f t="shared" si="56"/>
        <v>11956.42177866963</v>
      </c>
      <c r="E226" s="36">
        <f t="shared" si="57"/>
        <v>2272278.5030011758</v>
      </c>
      <c r="F226" s="36">
        <f t="shared" si="58"/>
        <v>14080.90022124562</v>
      </c>
      <c r="G226" s="36">
        <f t="shared" si="54"/>
        <v>26037.32199991525</v>
      </c>
      <c r="H226" s="37">
        <f t="shared" si="55"/>
        <v>6322</v>
      </c>
      <c r="I226" s="34" t="str">
        <f t="shared" si="51"/>
        <v>20y</v>
      </c>
      <c r="J226" s="36">
        <f t="shared" si="52"/>
        <v>1881.4343682067836</v>
      </c>
      <c r="K226" s="36"/>
      <c r="L226" s="36">
        <f t="shared" si="53"/>
        <v>1272.6324140642701</v>
      </c>
      <c r="M226" s="36"/>
      <c r="N226" s="36"/>
    </row>
    <row r="227" spans="1:14">
      <c r="A227" s="34" t="s">
        <v>179</v>
      </c>
      <c r="B227" s="35">
        <v>51157</v>
      </c>
      <c r="C227" s="36"/>
      <c r="D227" s="36">
        <f t="shared" si="56"/>
        <v>11563.219206825568</v>
      </c>
      <c r="E227" s="36">
        <f t="shared" si="57"/>
        <v>2260715.2837943505</v>
      </c>
      <c r="F227" s="36">
        <f t="shared" si="58"/>
        <v>14474.102793089682</v>
      </c>
      <c r="G227" s="36">
        <f t="shared" si="54"/>
        <v>26037.32199991525</v>
      </c>
      <c r="H227" s="37">
        <f t="shared" si="55"/>
        <v>6353</v>
      </c>
      <c r="I227" s="34" t="str">
        <f t="shared" si="51"/>
        <v>20y</v>
      </c>
      <c r="J227" s="36">
        <f t="shared" si="52"/>
        <v>1881.4343682067836</v>
      </c>
      <c r="K227" s="36"/>
      <c r="L227" s="36">
        <f t="shared" si="53"/>
        <v>1272.6324140642701</v>
      </c>
      <c r="M227" s="36"/>
      <c r="N227" s="36"/>
    </row>
    <row r="228" spans="1:14">
      <c r="A228" s="34" t="s">
        <v>179</v>
      </c>
      <c r="B228" s="35">
        <v>51188</v>
      </c>
      <c r="C228" s="36"/>
      <c r="D228" s="36">
        <f t="shared" si="56"/>
        <v>11636.875329170416</v>
      </c>
      <c r="E228" s="36">
        <f t="shared" si="57"/>
        <v>2249078.4084651801</v>
      </c>
      <c r="F228" s="36">
        <f t="shared" si="58"/>
        <v>14400.446670744834</v>
      </c>
      <c r="G228" s="36">
        <f t="shared" si="54"/>
        <v>26037.32199991525</v>
      </c>
      <c r="H228" s="37">
        <f t="shared" si="55"/>
        <v>6384</v>
      </c>
      <c r="I228" s="34" t="str">
        <f t="shared" si="51"/>
        <v>20y</v>
      </c>
      <c r="J228" s="36">
        <f t="shared" si="52"/>
        <v>1881.4343682067836</v>
      </c>
      <c r="K228" s="36"/>
      <c r="L228" s="36">
        <f t="shared" si="53"/>
        <v>1272.6324140642701</v>
      </c>
      <c r="M228" s="36"/>
      <c r="N228" s="36"/>
    </row>
    <row r="229" spans="1:14">
      <c r="A229" s="34" t="s">
        <v>179</v>
      </c>
      <c r="B229" s="35">
        <v>51217</v>
      </c>
      <c r="C229" s="36"/>
      <c r="D229" s="36">
        <f t="shared" si="56"/>
        <v>12635.279428924106</v>
      </c>
      <c r="E229" s="36">
        <f t="shared" si="57"/>
        <v>2236443.1290362561</v>
      </c>
      <c r="F229" s="36">
        <f t="shared" si="58"/>
        <v>13402.042570991143</v>
      </c>
      <c r="G229" s="36">
        <f t="shared" si="54"/>
        <v>26037.32199991525</v>
      </c>
      <c r="H229" s="37">
        <f t="shared" si="55"/>
        <v>6413</v>
      </c>
      <c r="I229" s="34" t="str">
        <f t="shared" si="51"/>
        <v>20y</v>
      </c>
      <c r="J229" s="36">
        <f t="shared" si="52"/>
        <v>1881.4343682067836</v>
      </c>
      <c r="K229" s="36"/>
      <c r="L229" s="36">
        <f t="shared" si="53"/>
        <v>1272.6324140642701</v>
      </c>
      <c r="M229" s="36"/>
      <c r="N229" s="36"/>
    </row>
    <row r="230" spans="1:14">
      <c r="A230" s="34" t="s">
        <v>179</v>
      </c>
      <c r="B230" s="35">
        <v>51248</v>
      </c>
      <c r="C230" s="36"/>
      <c r="D230" s="36">
        <f t="shared" si="56"/>
        <v>11791.485630026769</v>
      </c>
      <c r="E230" s="36">
        <f t="shared" si="57"/>
        <v>2224651.6434062296</v>
      </c>
      <c r="F230" s="36">
        <f t="shared" si="58"/>
        <v>14245.83636988848</v>
      </c>
      <c r="G230" s="36">
        <f t="shared" si="54"/>
        <v>26037.32199991525</v>
      </c>
      <c r="H230" s="37">
        <f t="shared" si="55"/>
        <v>6444</v>
      </c>
      <c r="I230" s="34" t="str">
        <f t="shared" si="51"/>
        <v>20y</v>
      </c>
      <c r="J230" s="36">
        <f t="shared" si="52"/>
        <v>1881.4343682067836</v>
      </c>
      <c r="K230" s="36"/>
      <c r="L230" s="36">
        <f t="shared" si="53"/>
        <v>1272.6324140642701</v>
      </c>
      <c r="M230" s="36"/>
      <c r="N230" s="36"/>
    </row>
    <row r="231" spans="1:14">
      <c r="A231" s="34" t="s">
        <v>179</v>
      </c>
      <c r="B231" s="35">
        <v>51278</v>
      </c>
      <c r="C231" s="36"/>
      <c r="D231" s="36">
        <f t="shared" si="56"/>
        <v>12323.715978917946</v>
      </c>
      <c r="E231" s="36">
        <f t="shared" si="57"/>
        <v>2212327.9274273114</v>
      </c>
      <c r="F231" s="36">
        <f t="shared" si="58"/>
        <v>13713.606020997304</v>
      </c>
      <c r="G231" s="36">
        <f t="shared" si="54"/>
        <v>26037.32199991525</v>
      </c>
      <c r="H231" s="37">
        <f t="shared" si="55"/>
        <v>6474</v>
      </c>
      <c r="I231" s="34" t="str">
        <f t="shared" ref="I231:I258" si="59">$T$5</f>
        <v>20y</v>
      </c>
      <c r="J231" s="36">
        <f t="shared" ref="J231:J258" si="60">G231*$T$9</f>
        <v>1881.4343682067836</v>
      </c>
      <c r="K231" s="36"/>
      <c r="L231" s="36">
        <f t="shared" ref="L231:L258" si="61">G231*$T$11</f>
        <v>1272.6324140642701</v>
      </c>
      <c r="M231" s="36"/>
      <c r="N231" s="36"/>
    </row>
    <row r="232" spans="1:14">
      <c r="A232" s="34" t="s">
        <v>179</v>
      </c>
      <c r="B232" s="35">
        <v>51309</v>
      </c>
      <c r="C232" s="36"/>
      <c r="D232" s="36">
        <f t="shared" si="56"/>
        <v>11945.096160823472</v>
      </c>
      <c r="E232" s="36">
        <f t="shared" si="57"/>
        <v>2200382.8312664879</v>
      </c>
      <c r="F232" s="36">
        <f t="shared" si="58"/>
        <v>14092.225839091778</v>
      </c>
      <c r="G232" s="36">
        <f t="shared" si="54"/>
        <v>26037.32199991525</v>
      </c>
      <c r="H232" s="37">
        <f t="shared" si="55"/>
        <v>6505</v>
      </c>
      <c r="I232" s="34" t="str">
        <f t="shared" si="59"/>
        <v>20y</v>
      </c>
      <c r="J232" s="36">
        <f t="shared" si="60"/>
        <v>1881.4343682067836</v>
      </c>
      <c r="K232" s="36"/>
      <c r="L232" s="36">
        <f t="shared" si="61"/>
        <v>1272.6324140642701</v>
      </c>
      <c r="M232" s="36"/>
      <c r="N232" s="36"/>
    </row>
    <row r="233" spans="1:14">
      <c r="A233" s="34" t="s">
        <v>179</v>
      </c>
      <c r="B233" s="35">
        <v>51339</v>
      </c>
      <c r="C233" s="36"/>
      <c r="D233" s="36">
        <f t="shared" si="56"/>
        <v>12473.318245532791</v>
      </c>
      <c r="E233" s="36">
        <f t="shared" si="57"/>
        <v>2187909.513020955</v>
      </c>
      <c r="F233" s="36">
        <f t="shared" si="58"/>
        <v>13564.003754382458</v>
      </c>
      <c r="G233" s="36">
        <f t="shared" si="54"/>
        <v>26037.32199991525</v>
      </c>
      <c r="H233" s="37">
        <f t="shared" si="55"/>
        <v>6535</v>
      </c>
      <c r="I233" s="34" t="str">
        <f t="shared" si="59"/>
        <v>20y</v>
      </c>
      <c r="J233" s="36">
        <f t="shared" si="60"/>
        <v>1881.4343682067836</v>
      </c>
      <c r="K233" s="36"/>
      <c r="L233" s="36">
        <f t="shared" si="61"/>
        <v>1272.6324140642701</v>
      </c>
      <c r="M233" s="36"/>
      <c r="N233" s="36"/>
    </row>
    <row r="234" spans="1:14">
      <c r="A234" s="34" t="s">
        <v>179</v>
      </c>
      <c r="B234" s="35">
        <v>51370</v>
      </c>
      <c r="C234" s="36"/>
      <c r="D234" s="36">
        <f t="shared" si="56"/>
        <v>12100.638115603686</v>
      </c>
      <c r="E234" s="36">
        <f t="shared" si="57"/>
        <v>2175808.8749053515</v>
      </c>
      <c r="F234" s="36">
        <f t="shared" si="58"/>
        <v>13936.683884311564</v>
      </c>
      <c r="G234" s="36">
        <f t="shared" si="54"/>
        <v>26037.32199991525</v>
      </c>
      <c r="H234" s="37">
        <f t="shared" si="55"/>
        <v>6566</v>
      </c>
      <c r="I234" s="34" t="str">
        <f t="shared" si="59"/>
        <v>20y</v>
      </c>
      <c r="J234" s="36">
        <f t="shared" si="60"/>
        <v>1881.4343682067836</v>
      </c>
      <c r="K234" s="36"/>
      <c r="L234" s="36">
        <f t="shared" si="61"/>
        <v>1272.6324140642701</v>
      </c>
      <c r="M234" s="36"/>
      <c r="N234" s="36"/>
    </row>
    <row r="235" spans="1:14">
      <c r="A235" s="34" t="s">
        <v>179</v>
      </c>
      <c r="B235" s="35">
        <v>51401</v>
      </c>
      <c r="C235" s="36"/>
      <c r="D235" s="36">
        <f t="shared" si="56"/>
        <v>12177.717522778421</v>
      </c>
      <c r="E235" s="36">
        <f t="shared" si="57"/>
        <v>2163631.157382573</v>
      </c>
      <c r="F235" s="36">
        <f t="shared" si="58"/>
        <v>13859.604477136829</v>
      </c>
      <c r="G235" s="36">
        <f t="shared" si="54"/>
        <v>26037.32199991525</v>
      </c>
      <c r="H235" s="37">
        <f t="shared" si="55"/>
        <v>6597</v>
      </c>
      <c r="I235" s="34" t="str">
        <f t="shared" si="59"/>
        <v>20y</v>
      </c>
      <c r="J235" s="36">
        <f t="shared" si="60"/>
        <v>1881.4343682067836</v>
      </c>
      <c r="K235" s="36"/>
      <c r="L235" s="36">
        <f t="shared" si="61"/>
        <v>1272.6324140642701</v>
      </c>
      <c r="M235" s="36"/>
      <c r="N235" s="36"/>
    </row>
    <row r="236" spans="1:14">
      <c r="A236" s="34" t="s">
        <v>179</v>
      </c>
      <c r="B236" s="35">
        <v>51431</v>
      </c>
      <c r="C236" s="36"/>
      <c r="D236" s="36">
        <f t="shared" si="56"/>
        <v>12699.869659885691</v>
      </c>
      <c r="E236" s="36">
        <f t="shared" si="57"/>
        <v>2150931.2877226872</v>
      </c>
      <c r="F236" s="36">
        <f t="shared" si="58"/>
        <v>13337.452340029558</v>
      </c>
      <c r="G236" s="36">
        <f t="shared" si="54"/>
        <v>26037.32199991525</v>
      </c>
      <c r="H236" s="37">
        <f t="shared" si="55"/>
        <v>6627</v>
      </c>
      <c r="I236" s="34" t="str">
        <f t="shared" si="59"/>
        <v>20y</v>
      </c>
      <c r="J236" s="36">
        <f t="shared" si="60"/>
        <v>1881.4343682067836</v>
      </c>
      <c r="K236" s="36"/>
      <c r="L236" s="36">
        <f t="shared" si="61"/>
        <v>1272.6324140642701</v>
      </c>
      <c r="M236" s="36"/>
      <c r="N236" s="36"/>
    </row>
    <row r="237" spans="1:14">
      <c r="A237" s="34" t="s">
        <v>179</v>
      </c>
      <c r="B237" s="35">
        <v>51462</v>
      </c>
      <c r="C237" s="36"/>
      <c r="D237" s="36">
        <f t="shared" si="56"/>
        <v>12336.184345243339</v>
      </c>
      <c r="E237" s="36">
        <f t="shared" si="57"/>
        <v>2138595.1033774437</v>
      </c>
      <c r="F237" s="36">
        <f t="shared" si="58"/>
        <v>13701.137654671911</v>
      </c>
      <c r="G237" s="36">
        <f t="shared" si="54"/>
        <v>26037.32199991525</v>
      </c>
      <c r="H237" s="37">
        <f t="shared" si="55"/>
        <v>6658</v>
      </c>
      <c r="I237" s="34" t="str">
        <f t="shared" si="59"/>
        <v>20y</v>
      </c>
      <c r="J237" s="36">
        <f t="shared" si="60"/>
        <v>1881.4343682067836</v>
      </c>
      <c r="K237" s="36"/>
      <c r="L237" s="36">
        <f t="shared" si="61"/>
        <v>1272.6324140642701</v>
      </c>
      <c r="M237" s="36"/>
      <c r="N237" s="36"/>
    </row>
    <row r="238" spans="1:14">
      <c r="A238" s="34" t="s">
        <v>179</v>
      </c>
      <c r="B238" s="35">
        <v>51492</v>
      </c>
      <c r="C238" s="36"/>
      <c r="D238" s="36">
        <f t="shared" si="56"/>
        <v>12854.201499643337</v>
      </c>
      <c r="E238" s="36">
        <f t="shared" si="57"/>
        <v>2125740.9018778005</v>
      </c>
      <c r="F238" s="36">
        <f t="shared" si="58"/>
        <v>13183.120500271913</v>
      </c>
      <c r="G238" s="36">
        <f t="shared" si="54"/>
        <v>26037.32199991525</v>
      </c>
      <c r="H238" s="37">
        <f t="shared" si="55"/>
        <v>6688</v>
      </c>
      <c r="I238" s="34" t="str">
        <f t="shared" si="59"/>
        <v>20y</v>
      </c>
      <c r="J238" s="36">
        <f t="shared" si="60"/>
        <v>1881.4343682067836</v>
      </c>
      <c r="K238" s="36"/>
      <c r="L238" s="36">
        <f t="shared" si="61"/>
        <v>1272.6324140642701</v>
      </c>
      <c r="M238" s="36"/>
      <c r="N238" s="36"/>
    </row>
    <row r="239" spans="1:14">
      <c r="A239" s="34" t="s">
        <v>179</v>
      </c>
      <c r="B239" s="35">
        <v>51523</v>
      </c>
      <c r="C239" s="36"/>
      <c r="D239" s="36">
        <f t="shared" si="56"/>
        <v>12496.64365233748</v>
      </c>
      <c r="E239" s="36">
        <f t="shared" si="57"/>
        <v>2113244.2582254629</v>
      </c>
      <c r="F239" s="36">
        <f t="shared" si="58"/>
        <v>13540.67834757777</v>
      </c>
      <c r="G239" s="36">
        <f t="shared" si="54"/>
        <v>26037.32199991525</v>
      </c>
      <c r="H239" s="37">
        <f t="shared" si="55"/>
        <v>6719</v>
      </c>
      <c r="I239" s="34" t="str">
        <f t="shared" si="59"/>
        <v>20y</v>
      </c>
      <c r="J239" s="36">
        <f t="shared" si="60"/>
        <v>1881.4343682067836</v>
      </c>
      <c r="K239" s="36"/>
      <c r="L239" s="36">
        <f t="shared" si="61"/>
        <v>1272.6324140642701</v>
      </c>
      <c r="M239" s="36"/>
      <c r="N239" s="36"/>
    </row>
    <row r="240" spans="1:14">
      <c r="A240" s="34" t="s">
        <v>179</v>
      </c>
      <c r="B240" s="35">
        <v>51554</v>
      </c>
      <c r="C240" s="36"/>
      <c r="D240" s="36">
        <f t="shared" si="56"/>
        <v>12576.245560533878</v>
      </c>
      <c r="E240" s="36">
        <f t="shared" si="57"/>
        <v>2100668.012664929</v>
      </c>
      <c r="F240" s="36">
        <f t="shared" si="58"/>
        <v>13461.076439381372</v>
      </c>
      <c r="G240" s="36">
        <f t="shared" si="54"/>
        <v>26037.32199991525</v>
      </c>
      <c r="H240" s="37">
        <f t="shared" si="55"/>
        <v>6750</v>
      </c>
      <c r="I240" s="34" t="str">
        <f t="shared" si="59"/>
        <v>20y</v>
      </c>
      <c r="J240" s="36">
        <f t="shared" si="60"/>
        <v>1881.4343682067836</v>
      </c>
      <c r="K240" s="36"/>
      <c r="L240" s="36">
        <f t="shared" si="61"/>
        <v>1272.6324140642701</v>
      </c>
      <c r="M240" s="36"/>
      <c r="N240" s="36"/>
    </row>
    <row r="241" spans="1:14">
      <c r="A241" s="34" t="s">
        <v>179</v>
      </c>
      <c r="B241" s="35">
        <v>51582</v>
      </c>
      <c r="C241" s="36"/>
      <c r="D241" s="36">
        <f t="shared" si="56"/>
        <v>13951.286858555384</v>
      </c>
      <c r="E241" s="36">
        <f t="shared" si="57"/>
        <v>2086716.7258063736</v>
      </c>
      <c r="F241" s="36">
        <f t="shared" si="58"/>
        <v>12086.035141359866</v>
      </c>
      <c r="G241" s="36">
        <f t="shared" si="54"/>
        <v>26037.32199991525</v>
      </c>
      <c r="H241" s="37">
        <f t="shared" si="55"/>
        <v>6778</v>
      </c>
      <c r="I241" s="34" t="str">
        <f t="shared" si="59"/>
        <v>20y</v>
      </c>
      <c r="J241" s="36">
        <f t="shared" si="60"/>
        <v>1881.4343682067836</v>
      </c>
      <c r="K241" s="36"/>
      <c r="L241" s="36">
        <f t="shared" si="61"/>
        <v>1272.6324140642701</v>
      </c>
      <c r="M241" s="36"/>
      <c r="N241" s="36"/>
    </row>
    <row r="242" spans="1:14">
      <c r="A242" s="34" t="s">
        <v>179</v>
      </c>
      <c r="B242" s="35">
        <v>51613</v>
      </c>
      <c r="C242" s="36"/>
      <c r="D242" s="36">
        <f t="shared" si="56"/>
        <v>12745.222308134926</v>
      </c>
      <c r="E242" s="36">
        <f t="shared" si="57"/>
        <v>2073971.5034982387</v>
      </c>
      <c r="F242" s="36">
        <f t="shared" si="58"/>
        <v>13292.099691780324</v>
      </c>
      <c r="G242" s="36">
        <f t="shared" si="54"/>
        <v>26037.32199991525</v>
      </c>
      <c r="H242" s="37">
        <f t="shared" si="55"/>
        <v>6809</v>
      </c>
      <c r="I242" s="34" t="str">
        <f t="shared" si="59"/>
        <v>20y</v>
      </c>
      <c r="J242" s="36">
        <f t="shared" si="60"/>
        <v>1881.4343682067836</v>
      </c>
      <c r="K242" s="36"/>
      <c r="L242" s="36">
        <f t="shared" si="61"/>
        <v>1272.6324140642701</v>
      </c>
      <c r="M242" s="36"/>
      <c r="N242" s="36"/>
    </row>
    <row r="243" spans="1:14">
      <c r="A243" s="34" t="s">
        <v>179</v>
      </c>
      <c r="B243" s="35">
        <v>51643</v>
      </c>
      <c r="C243" s="36"/>
      <c r="D243" s="36">
        <f t="shared" si="56"/>
        <v>13252.566156432957</v>
      </c>
      <c r="E243" s="36">
        <f t="shared" si="57"/>
        <v>2060718.9373418058</v>
      </c>
      <c r="F243" s="36">
        <f t="shared" si="58"/>
        <v>12784.755843482293</v>
      </c>
      <c r="G243" s="36">
        <f t="shared" si="54"/>
        <v>26037.32199991525</v>
      </c>
      <c r="H243" s="37">
        <f t="shared" si="55"/>
        <v>6839</v>
      </c>
      <c r="I243" s="34" t="str">
        <f t="shared" si="59"/>
        <v>20y</v>
      </c>
      <c r="J243" s="36">
        <f t="shared" si="60"/>
        <v>1881.4343682067836</v>
      </c>
      <c r="K243" s="36"/>
      <c r="L243" s="36">
        <f t="shared" si="61"/>
        <v>1272.6324140642701</v>
      </c>
      <c r="M243" s="36"/>
      <c r="N243" s="36"/>
    </row>
    <row r="244" spans="1:14">
      <c r="A244" s="34" t="s">
        <v>179</v>
      </c>
      <c r="B244" s="35">
        <v>51674</v>
      </c>
      <c r="C244" s="36"/>
      <c r="D244" s="36">
        <f t="shared" si="56"/>
        <v>12910.824659313337</v>
      </c>
      <c r="E244" s="36">
        <f t="shared" si="57"/>
        <v>2047808.1126824925</v>
      </c>
      <c r="F244" s="36">
        <f t="shared" si="58"/>
        <v>13126.497340601913</v>
      </c>
      <c r="G244" s="36">
        <f t="shared" si="54"/>
        <v>26037.32199991525</v>
      </c>
      <c r="H244" s="37">
        <f t="shared" si="55"/>
        <v>6870</v>
      </c>
      <c r="I244" s="34" t="str">
        <f t="shared" si="59"/>
        <v>20y</v>
      </c>
      <c r="J244" s="36">
        <f t="shared" si="60"/>
        <v>1881.4343682067836</v>
      </c>
      <c r="K244" s="36"/>
      <c r="L244" s="36">
        <f t="shared" si="61"/>
        <v>1272.6324140642701</v>
      </c>
      <c r="M244" s="36"/>
      <c r="N244" s="36"/>
    </row>
    <row r="245" spans="1:14">
      <c r="A245" s="34" t="s">
        <v>179</v>
      </c>
      <c r="B245" s="35">
        <v>51704</v>
      </c>
      <c r="C245" s="36"/>
      <c r="D245" s="36">
        <f t="shared" si="56"/>
        <v>13413.847332694406</v>
      </c>
      <c r="E245" s="36">
        <f t="shared" si="57"/>
        <v>2034394.2653497981</v>
      </c>
      <c r="F245" s="36">
        <f t="shared" si="58"/>
        <v>12623.474667220844</v>
      </c>
      <c r="G245" s="36">
        <f t="shared" si="54"/>
        <v>26037.32199991525</v>
      </c>
      <c r="H245" s="37">
        <f t="shared" si="55"/>
        <v>6900</v>
      </c>
      <c r="I245" s="34" t="str">
        <f t="shared" si="59"/>
        <v>20y</v>
      </c>
      <c r="J245" s="36">
        <f t="shared" si="60"/>
        <v>1881.4343682067836</v>
      </c>
      <c r="K245" s="36"/>
      <c r="L245" s="36">
        <f t="shared" si="61"/>
        <v>1272.6324140642701</v>
      </c>
      <c r="M245" s="36"/>
      <c r="N245" s="36"/>
    </row>
    <row r="246" spans="1:14">
      <c r="A246" s="34" t="s">
        <v>179</v>
      </c>
      <c r="B246" s="35">
        <v>51735</v>
      </c>
      <c r="C246" s="36"/>
      <c r="D246" s="36">
        <f t="shared" si="56"/>
        <v>13078.509213782976</v>
      </c>
      <c r="E246" s="36">
        <f t="shared" si="57"/>
        <v>2021315.7561360151</v>
      </c>
      <c r="F246" s="36">
        <f t="shared" si="58"/>
        <v>12958.812786132274</v>
      </c>
      <c r="G246" s="36">
        <f t="shared" si="54"/>
        <v>26037.32199991525</v>
      </c>
      <c r="H246" s="37">
        <f t="shared" si="55"/>
        <v>6931</v>
      </c>
      <c r="I246" s="34" t="str">
        <f t="shared" si="59"/>
        <v>20y</v>
      </c>
      <c r="J246" s="36">
        <f t="shared" si="60"/>
        <v>1881.4343682067836</v>
      </c>
      <c r="K246" s="36"/>
      <c r="L246" s="36">
        <f t="shared" si="61"/>
        <v>1272.6324140642701</v>
      </c>
      <c r="M246" s="36"/>
      <c r="N246" s="36"/>
    </row>
    <row r="247" spans="1:14">
      <c r="A247" s="34" t="s">
        <v>179</v>
      </c>
      <c r="B247" s="35">
        <v>51766</v>
      </c>
      <c r="C247" s="36"/>
      <c r="D247" s="36">
        <f t="shared" si="56"/>
        <v>13161.81752589817</v>
      </c>
      <c r="E247" s="36">
        <f t="shared" si="57"/>
        <v>2008153.938610117</v>
      </c>
      <c r="F247" s="36">
        <f t="shared" si="58"/>
        <v>12875.50447401708</v>
      </c>
      <c r="G247" s="36">
        <f t="shared" si="54"/>
        <v>26037.32199991525</v>
      </c>
      <c r="H247" s="37">
        <f t="shared" si="55"/>
        <v>6962</v>
      </c>
      <c r="I247" s="34" t="str">
        <f t="shared" si="59"/>
        <v>20y</v>
      </c>
      <c r="J247" s="36">
        <f t="shared" si="60"/>
        <v>1881.4343682067836</v>
      </c>
      <c r="K247" s="36"/>
      <c r="L247" s="36">
        <f t="shared" si="61"/>
        <v>1272.6324140642701</v>
      </c>
      <c r="M247" s="36"/>
      <c r="N247" s="36"/>
    </row>
    <row r="248" spans="1:14">
      <c r="A248" s="34" t="s">
        <v>179</v>
      </c>
      <c r="B248" s="35">
        <v>51796</v>
      </c>
      <c r="C248" s="36"/>
      <c r="D248" s="36">
        <f t="shared" si="56"/>
        <v>13658.290871496722</v>
      </c>
      <c r="E248" s="36">
        <f t="shared" si="57"/>
        <v>1994495.6477386202</v>
      </c>
      <c r="F248" s="36">
        <f t="shared" si="58"/>
        <v>12379.031128418528</v>
      </c>
      <c r="G248" s="36">
        <f t="shared" si="54"/>
        <v>26037.32199991525</v>
      </c>
      <c r="H248" s="37">
        <f t="shared" si="55"/>
        <v>6992</v>
      </c>
      <c r="I248" s="34" t="str">
        <f t="shared" si="59"/>
        <v>20y</v>
      </c>
      <c r="J248" s="36">
        <f t="shared" si="60"/>
        <v>1881.4343682067836</v>
      </c>
      <c r="K248" s="36"/>
      <c r="L248" s="36">
        <f t="shared" si="61"/>
        <v>1272.6324140642701</v>
      </c>
      <c r="M248" s="36"/>
      <c r="N248" s="36"/>
    </row>
    <row r="249" spans="1:14">
      <c r="A249" s="34" t="s">
        <v>179</v>
      </c>
      <c r="B249" s="35">
        <v>51827</v>
      </c>
      <c r="C249" s="36"/>
      <c r="D249" s="36">
        <f t="shared" si="56"/>
        <v>13332.657942402122</v>
      </c>
      <c r="E249" s="36">
        <f t="shared" si="57"/>
        <v>1981162.989796218</v>
      </c>
      <c r="F249" s="36">
        <f t="shared" si="58"/>
        <v>12704.664057513128</v>
      </c>
      <c r="G249" s="36">
        <f t="shared" si="54"/>
        <v>26037.32199991525</v>
      </c>
      <c r="H249" s="37">
        <f t="shared" si="55"/>
        <v>7023</v>
      </c>
      <c r="I249" s="34" t="str">
        <f t="shared" si="59"/>
        <v>20y</v>
      </c>
      <c r="J249" s="36">
        <f t="shared" si="60"/>
        <v>1881.4343682067836</v>
      </c>
      <c r="K249" s="36"/>
      <c r="L249" s="36">
        <f t="shared" si="61"/>
        <v>1272.6324140642701</v>
      </c>
      <c r="M249" s="36"/>
      <c r="N249" s="36"/>
    </row>
    <row r="250" spans="1:14">
      <c r="A250" s="34" t="s">
        <v>179</v>
      </c>
      <c r="B250" s="35">
        <v>51857</v>
      </c>
      <c r="C250" s="36"/>
      <c r="D250" s="36">
        <f t="shared" si="56"/>
        <v>13824.67343267829</v>
      </c>
      <c r="E250" s="36">
        <f t="shared" si="57"/>
        <v>1967338.3163635398</v>
      </c>
      <c r="F250" s="36">
        <f t="shared" si="58"/>
        <v>12212.64856723696</v>
      </c>
      <c r="G250" s="36">
        <f t="shared" si="54"/>
        <v>26037.32199991525</v>
      </c>
      <c r="H250" s="37">
        <f t="shared" si="55"/>
        <v>7053</v>
      </c>
      <c r="I250" s="34" t="str">
        <f t="shared" si="59"/>
        <v>20y</v>
      </c>
      <c r="J250" s="36">
        <f t="shared" si="60"/>
        <v>1881.4343682067836</v>
      </c>
      <c r="K250" s="36"/>
      <c r="L250" s="36">
        <f t="shared" si="61"/>
        <v>1272.6324140642701</v>
      </c>
      <c r="M250" s="36"/>
      <c r="N250" s="36"/>
    </row>
    <row r="251" spans="1:14">
      <c r="A251" s="34" t="s">
        <v>179</v>
      </c>
      <c r="B251" s="35">
        <v>51888</v>
      </c>
      <c r="C251" s="36"/>
      <c r="D251" s="36">
        <f t="shared" si="56"/>
        <v>13505.646423079004</v>
      </c>
      <c r="E251" s="36">
        <f t="shared" si="57"/>
        <v>1953832.6699404607</v>
      </c>
      <c r="F251" s="36">
        <f t="shared" si="58"/>
        <v>12531.675576836245</v>
      </c>
      <c r="G251" s="36">
        <f t="shared" si="54"/>
        <v>26037.32199991525</v>
      </c>
      <c r="H251" s="37">
        <f t="shared" si="55"/>
        <v>7084</v>
      </c>
      <c r="I251" s="34" t="str">
        <f t="shared" si="59"/>
        <v>20y</v>
      </c>
      <c r="J251" s="36">
        <f t="shared" si="60"/>
        <v>1881.4343682067836</v>
      </c>
      <c r="K251" s="36"/>
      <c r="L251" s="36">
        <f t="shared" si="61"/>
        <v>1272.6324140642701</v>
      </c>
      <c r="M251" s="36"/>
      <c r="N251" s="36"/>
    </row>
    <row r="252" spans="1:14">
      <c r="A252" s="34" t="s">
        <v>179</v>
      </c>
      <c r="B252" s="35">
        <v>51919</v>
      </c>
      <c r="C252" s="36"/>
      <c r="D252" s="36">
        <f t="shared" si="56"/>
        <v>13591.675540705468</v>
      </c>
      <c r="E252" s="36">
        <f t="shared" si="57"/>
        <v>1940240.9943997553</v>
      </c>
      <c r="F252" s="36">
        <f t="shared" si="58"/>
        <v>12445.646459209782</v>
      </c>
      <c r="G252" s="36">
        <f t="shared" si="54"/>
        <v>26037.32199991525</v>
      </c>
      <c r="H252" s="37">
        <f t="shared" si="55"/>
        <v>7115</v>
      </c>
      <c r="I252" s="34" t="str">
        <f t="shared" si="59"/>
        <v>20y</v>
      </c>
      <c r="J252" s="36">
        <f t="shared" si="60"/>
        <v>1881.4343682067836</v>
      </c>
      <c r="K252" s="36"/>
      <c r="L252" s="36">
        <f t="shared" si="61"/>
        <v>1272.6324140642701</v>
      </c>
      <c r="M252" s="36"/>
      <c r="N252" s="36"/>
    </row>
    <row r="253" spans="1:14">
      <c r="A253" s="34" t="s">
        <v>179</v>
      </c>
      <c r="B253" s="35">
        <v>51947</v>
      </c>
      <c r="C253" s="36"/>
      <c r="D253" s="36">
        <f t="shared" si="56"/>
        <v>14874.291621176932</v>
      </c>
      <c r="E253" s="36">
        <f t="shared" si="57"/>
        <v>1925366.7027785783</v>
      </c>
      <c r="F253" s="36">
        <f t="shared" si="58"/>
        <v>11163.030378738318</v>
      </c>
      <c r="G253" s="36">
        <f t="shared" si="54"/>
        <v>26037.32199991525</v>
      </c>
      <c r="H253" s="37">
        <f t="shared" si="55"/>
        <v>7143</v>
      </c>
      <c r="I253" s="34" t="str">
        <f t="shared" si="59"/>
        <v>20y</v>
      </c>
      <c r="J253" s="36">
        <f t="shared" si="60"/>
        <v>1881.4343682067836</v>
      </c>
      <c r="K253" s="36"/>
      <c r="L253" s="36">
        <f t="shared" si="61"/>
        <v>1272.6324140642701</v>
      </c>
      <c r="M253" s="36"/>
      <c r="N253" s="36"/>
    </row>
    <row r="254" spans="1:14">
      <c r="A254" s="34" t="s">
        <v>179</v>
      </c>
      <c r="B254" s="35">
        <v>51978</v>
      </c>
      <c r="C254" s="36"/>
      <c r="D254" s="36">
        <f t="shared" si="56"/>
        <v>13772.999852079101</v>
      </c>
      <c r="E254" s="36">
        <f t="shared" si="57"/>
        <v>1911593.7029264991</v>
      </c>
      <c r="F254" s="36">
        <f t="shared" si="58"/>
        <v>12264.322147836148</v>
      </c>
      <c r="G254" s="36">
        <f t="shared" si="54"/>
        <v>26037.32199991525</v>
      </c>
      <c r="H254" s="37">
        <f t="shared" si="55"/>
        <v>7174</v>
      </c>
      <c r="I254" s="34" t="str">
        <f t="shared" si="59"/>
        <v>20y</v>
      </c>
      <c r="J254" s="36">
        <f t="shared" si="60"/>
        <v>1881.4343682067836</v>
      </c>
      <c r="K254" s="36"/>
      <c r="L254" s="36">
        <f t="shared" si="61"/>
        <v>1272.6324140642701</v>
      </c>
      <c r="M254" s="36"/>
      <c r="N254" s="36"/>
    </row>
    <row r="255" spans="1:14">
      <c r="A255" s="34" t="s">
        <v>179</v>
      </c>
      <c r="B255" s="35">
        <v>52008</v>
      </c>
      <c r="C255" s="36"/>
      <c r="D255" s="36">
        <f t="shared" si="56"/>
        <v>14253.525201053269</v>
      </c>
      <c r="E255" s="36">
        <f t="shared" si="57"/>
        <v>1897340.1777254457</v>
      </c>
      <c r="F255" s="36">
        <f t="shared" si="58"/>
        <v>11783.79679886198</v>
      </c>
      <c r="G255" s="36">
        <f t="shared" si="54"/>
        <v>26037.32199991525</v>
      </c>
      <c r="H255" s="37">
        <f t="shared" si="55"/>
        <v>7204</v>
      </c>
      <c r="I255" s="34" t="str">
        <f t="shared" si="59"/>
        <v>20y</v>
      </c>
      <c r="J255" s="36">
        <f t="shared" si="60"/>
        <v>1881.4343682067836</v>
      </c>
      <c r="K255" s="36"/>
      <c r="L255" s="36">
        <f t="shared" si="61"/>
        <v>1272.6324140642701</v>
      </c>
      <c r="M255" s="36"/>
      <c r="N255" s="36"/>
    </row>
    <row r="256" spans="1:14">
      <c r="A256" s="34" t="s">
        <v>179</v>
      </c>
      <c r="B256" s="35">
        <v>52039</v>
      </c>
      <c r="C256" s="36"/>
      <c r="D256" s="36">
        <f t="shared" si="56"/>
        <v>13951.524977417548</v>
      </c>
      <c r="E256" s="36">
        <f t="shared" si="57"/>
        <v>1883388.652748028</v>
      </c>
      <c r="F256" s="36">
        <f t="shared" si="58"/>
        <v>12085.797022497702</v>
      </c>
      <c r="G256" s="36">
        <f t="shared" si="54"/>
        <v>26037.32199991525</v>
      </c>
      <c r="H256" s="37">
        <f t="shared" si="55"/>
        <v>7235</v>
      </c>
      <c r="I256" s="34" t="str">
        <f t="shared" si="59"/>
        <v>20y</v>
      </c>
      <c r="J256" s="36">
        <f t="shared" si="60"/>
        <v>1881.4343682067836</v>
      </c>
      <c r="K256" s="36"/>
      <c r="L256" s="36">
        <f t="shared" si="61"/>
        <v>1272.6324140642701</v>
      </c>
      <c r="M256" s="36"/>
      <c r="N256" s="36"/>
    </row>
    <row r="257" spans="1:14">
      <c r="A257" s="34" t="s">
        <v>179</v>
      </c>
      <c r="B257" s="35">
        <v>52069</v>
      </c>
      <c r="C257" s="36"/>
      <c r="D257" s="36">
        <f t="shared" si="56"/>
        <v>14427.391948728777</v>
      </c>
      <c r="E257" s="36">
        <f t="shared" si="57"/>
        <v>1868961.2607992992</v>
      </c>
      <c r="F257" s="36">
        <f t="shared" si="58"/>
        <v>11609.930051186473</v>
      </c>
      <c r="G257" s="36">
        <f t="shared" si="54"/>
        <v>26037.32199991525</v>
      </c>
      <c r="H257" s="37">
        <f t="shared" si="55"/>
        <v>7265</v>
      </c>
      <c r="I257" s="34" t="str">
        <f t="shared" si="59"/>
        <v>20y</v>
      </c>
      <c r="J257" s="36">
        <f t="shared" si="60"/>
        <v>1881.4343682067836</v>
      </c>
      <c r="K257" s="36"/>
      <c r="L257" s="36">
        <f t="shared" si="61"/>
        <v>1272.6324140642701</v>
      </c>
      <c r="M257" s="36"/>
      <c r="N257" s="36"/>
    </row>
    <row r="258" spans="1:14">
      <c r="A258" s="34" t="s">
        <v>179</v>
      </c>
      <c r="B258" s="35">
        <v>52100</v>
      </c>
      <c r="C258" s="36"/>
      <c r="D258" s="36">
        <f t="shared" si="56"/>
        <v>14132.294790714235</v>
      </c>
      <c r="E258" s="36">
        <f t="shared" si="57"/>
        <v>1854828.9660085849</v>
      </c>
      <c r="F258" s="36">
        <f t="shared" si="58"/>
        <v>11905.027209201015</v>
      </c>
      <c r="G258" s="36">
        <f t="shared" si="54"/>
        <v>26037.32199991525</v>
      </c>
      <c r="H258" s="37">
        <f t="shared" si="55"/>
        <v>7296</v>
      </c>
      <c r="I258" s="34" t="str">
        <f t="shared" si="59"/>
        <v>20y</v>
      </c>
      <c r="J258" s="36">
        <f t="shared" si="60"/>
        <v>1881.4343682067836</v>
      </c>
      <c r="K258" s="36"/>
      <c r="L258" s="36">
        <f t="shared" si="61"/>
        <v>1272.6324140642701</v>
      </c>
      <c r="M258" s="36"/>
      <c r="N258" s="36"/>
    </row>
    <row r="259" spans="1:14">
      <c r="A259" s="34" t="s">
        <v>179</v>
      </c>
      <c r="B259" s="35">
        <v>52131</v>
      </c>
      <c r="C259" s="36"/>
      <c r="D259" s="36">
        <f t="shared" si="56"/>
        <v>14222.315572600291</v>
      </c>
      <c r="E259" s="36">
        <f t="shared" si="57"/>
        <v>1840606.6504359846</v>
      </c>
      <c r="F259" s="36">
        <f t="shared" si="58"/>
        <v>11815.006427314958</v>
      </c>
      <c r="G259" s="36">
        <f t="shared" si="54"/>
        <v>26037.32199991525</v>
      </c>
      <c r="H259" s="37">
        <f t="shared" si="55"/>
        <v>7327</v>
      </c>
      <c r="I259" s="34" t="str">
        <f t="shared" ref="I259:I290" si="62">$U$5</f>
        <v>30y</v>
      </c>
      <c r="J259" s="36">
        <f t="shared" ref="J259:J290" si="63">G259*$U$9</f>
        <v>592.06559841915134</v>
      </c>
      <c r="K259" s="36"/>
      <c r="L259" s="36">
        <f t="shared" ref="L259:L290" si="64">G259*$U$11</f>
        <v>334.44217512606639</v>
      </c>
      <c r="M259" s="36"/>
      <c r="N259" s="36"/>
    </row>
    <row r="260" spans="1:14">
      <c r="A260" s="34" t="s">
        <v>179</v>
      </c>
      <c r="B260" s="35">
        <v>52161</v>
      </c>
      <c r="C260" s="36"/>
      <c r="D260" s="36">
        <f t="shared" si="56"/>
        <v>14691.116620515344</v>
      </c>
      <c r="E260" s="36">
        <f t="shared" si="57"/>
        <v>1825915.5338154694</v>
      </c>
      <c r="F260" s="36">
        <f t="shared" si="58"/>
        <v>11346.205379399906</v>
      </c>
      <c r="G260" s="36">
        <f t="shared" si="54"/>
        <v>26037.32199991525</v>
      </c>
      <c r="H260" s="37">
        <f t="shared" si="55"/>
        <v>7357</v>
      </c>
      <c r="I260" s="34" t="str">
        <f t="shared" si="62"/>
        <v>30y</v>
      </c>
      <c r="J260" s="36">
        <f t="shared" si="63"/>
        <v>592.06559841915134</v>
      </c>
      <c r="K260" s="36"/>
      <c r="L260" s="36">
        <f t="shared" si="64"/>
        <v>334.44217512606639</v>
      </c>
      <c r="M260" s="36"/>
      <c r="N260" s="36"/>
    </row>
    <row r="261" spans="1:14">
      <c r="A261" s="34" t="s">
        <v>179</v>
      </c>
      <c r="B261" s="35">
        <v>52192</v>
      </c>
      <c r="C261" s="36"/>
      <c r="D261" s="36">
        <f t="shared" si="56"/>
        <v>14406.490174926301</v>
      </c>
      <c r="E261" s="36">
        <f t="shared" si="57"/>
        <v>1811509.043640543</v>
      </c>
      <c r="F261" s="36">
        <f t="shared" si="58"/>
        <v>11630.831824988949</v>
      </c>
      <c r="G261" s="36">
        <f t="shared" si="54"/>
        <v>26037.32199991525</v>
      </c>
      <c r="H261" s="37">
        <f t="shared" si="55"/>
        <v>7388</v>
      </c>
      <c r="I261" s="34" t="str">
        <f t="shared" si="62"/>
        <v>30y</v>
      </c>
      <c r="J261" s="36">
        <f t="shared" si="63"/>
        <v>592.06559841915134</v>
      </c>
      <c r="K261" s="36"/>
      <c r="L261" s="36">
        <f t="shared" si="64"/>
        <v>334.44217512606639</v>
      </c>
      <c r="M261" s="36"/>
      <c r="N261" s="36"/>
    </row>
    <row r="262" spans="1:14">
      <c r="A262" s="34" t="s">
        <v>179</v>
      </c>
      <c r="B262" s="35">
        <v>52222</v>
      </c>
      <c r="C262" s="36"/>
      <c r="D262" s="36">
        <f t="shared" si="56"/>
        <v>14870.485429528342</v>
      </c>
      <c r="E262" s="36">
        <f t="shared" si="57"/>
        <v>1796638.5582110146</v>
      </c>
      <c r="F262" s="36">
        <f t="shared" si="58"/>
        <v>11166.836570386908</v>
      </c>
      <c r="G262" s="36">
        <f t="shared" si="54"/>
        <v>26037.32199991525</v>
      </c>
      <c r="H262" s="37">
        <f t="shared" si="55"/>
        <v>7418</v>
      </c>
      <c r="I262" s="34" t="str">
        <f t="shared" si="62"/>
        <v>30y</v>
      </c>
      <c r="J262" s="36">
        <f t="shared" si="63"/>
        <v>592.06559841915134</v>
      </c>
      <c r="K262" s="36"/>
      <c r="L262" s="36">
        <f t="shared" si="64"/>
        <v>334.44217512606639</v>
      </c>
      <c r="M262" s="36"/>
      <c r="N262" s="36"/>
    </row>
    <row r="263" spans="1:14">
      <c r="A263" s="34" t="s">
        <v>179</v>
      </c>
      <c r="B263" s="35">
        <v>52253</v>
      </c>
      <c r="C263" s="36"/>
      <c r="D263" s="36">
        <f t="shared" si="56"/>
        <v>14592.980498982075</v>
      </c>
      <c r="E263" s="36">
        <f t="shared" si="57"/>
        <v>1782045.5777120325</v>
      </c>
      <c r="F263" s="36">
        <f t="shared" si="58"/>
        <v>11444.341500933175</v>
      </c>
      <c r="G263" s="36">
        <f t="shared" si="54"/>
        <v>26037.32199991525</v>
      </c>
      <c r="H263" s="37">
        <f t="shared" si="55"/>
        <v>7449</v>
      </c>
      <c r="I263" s="34" t="str">
        <f t="shared" si="62"/>
        <v>30y</v>
      </c>
      <c r="J263" s="36">
        <f t="shared" si="63"/>
        <v>592.06559841915134</v>
      </c>
      <c r="K263" s="36"/>
      <c r="L263" s="36">
        <f t="shared" si="64"/>
        <v>334.44217512606639</v>
      </c>
      <c r="M263" s="36"/>
      <c r="N263" s="36"/>
    </row>
    <row r="264" spans="1:14">
      <c r="A264" s="34" t="s">
        <v>179</v>
      </c>
      <c r="B264" s="35">
        <v>52284</v>
      </c>
      <c r="C264" s="36"/>
      <c r="D264" s="36">
        <f t="shared" si="56"/>
        <v>14685.935785722168</v>
      </c>
      <c r="E264" s="36">
        <f t="shared" si="57"/>
        <v>1767359.6419263103</v>
      </c>
      <c r="F264" s="36">
        <f t="shared" si="58"/>
        <v>11351.386214193082</v>
      </c>
      <c r="G264" s="36">
        <f t="shared" si="54"/>
        <v>26037.32199991525</v>
      </c>
      <c r="H264" s="37">
        <f t="shared" si="55"/>
        <v>7480</v>
      </c>
      <c r="I264" s="34" t="str">
        <f t="shared" si="62"/>
        <v>30y</v>
      </c>
      <c r="J264" s="36">
        <f t="shared" si="63"/>
        <v>592.06559841915134</v>
      </c>
      <c r="K264" s="36"/>
      <c r="L264" s="36">
        <f t="shared" si="64"/>
        <v>334.44217512606639</v>
      </c>
      <c r="M264" s="36"/>
      <c r="N264" s="36"/>
    </row>
    <row r="265" spans="1:14">
      <c r="A265" s="34" t="s">
        <v>179</v>
      </c>
      <c r="B265" s="35">
        <v>52312</v>
      </c>
      <c r="C265" s="36"/>
      <c r="D265" s="36">
        <f t="shared" si="56"/>
        <v>15868.951457325518</v>
      </c>
      <c r="E265" s="36">
        <f t="shared" si="57"/>
        <v>1751490.6904689847</v>
      </c>
      <c r="F265" s="36">
        <f t="shared" si="58"/>
        <v>10168.370542589731</v>
      </c>
      <c r="G265" s="36">
        <f t="shared" si="54"/>
        <v>26037.32199991525</v>
      </c>
      <c r="H265" s="37">
        <f t="shared" si="55"/>
        <v>7508</v>
      </c>
      <c r="I265" s="34" t="str">
        <f t="shared" si="62"/>
        <v>30y</v>
      </c>
      <c r="J265" s="36">
        <f t="shared" si="63"/>
        <v>592.06559841915134</v>
      </c>
      <c r="K265" s="36"/>
      <c r="L265" s="36">
        <f t="shared" si="64"/>
        <v>334.44217512606639</v>
      </c>
      <c r="M265" s="36"/>
      <c r="N265" s="36"/>
    </row>
    <row r="266" spans="1:14">
      <c r="A266" s="34" t="s">
        <v>179</v>
      </c>
      <c r="B266" s="35">
        <v>52343</v>
      </c>
      <c r="C266" s="36"/>
      <c r="D266" s="36">
        <f t="shared" si="56"/>
        <v>14880.566231859388</v>
      </c>
      <c r="E266" s="36">
        <f t="shared" si="57"/>
        <v>1736610.1242371253</v>
      </c>
      <c r="F266" s="36">
        <f t="shared" si="58"/>
        <v>11156.755768055862</v>
      </c>
      <c r="G266" s="36">
        <f t="shared" si="54"/>
        <v>26037.32199991525</v>
      </c>
      <c r="H266" s="37">
        <f t="shared" si="55"/>
        <v>7539</v>
      </c>
      <c r="I266" s="34" t="str">
        <f t="shared" si="62"/>
        <v>30y</v>
      </c>
      <c r="J266" s="36">
        <f t="shared" si="63"/>
        <v>592.06559841915134</v>
      </c>
      <c r="K266" s="36"/>
      <c r="L266" s="36">
        <f t="shared" si="64"/>
        <v>334.44217512606639</v>
      </c>
      <c r="M266" s="36"/>
      <c r="N266" s="36"/>
    </row>
    <row r="267" spans="1:14">
      <c r="A267" s="34" t="s">
        <v>179</v>
      </c>
      <c r="B267" s="35">
        <v>52373</v>
      </c>
      <c r="C267" s="36"/>
      <c r="D267" s="36">
        <f t="shared" si="56"/>
        <v>15332.191097083656</v>
      </c>
      <c r="E267" s="36">
        <f t="shared" si="57"/>
        <v>1721277.9331400415</v>
      </c>
      <c r="F267" s="36">
        <f t="shared" si="58"/>
        <v>10705.130902831594</v>
      </c>
      <c r="G267" s="36">
        <f t="shared" si="54"/>
        <v>26037.32199991525</v>
      </c>
      <c r="H267" s="37">
        <f t="shared" si="55"/>
        <v>7569</v>
      </c>
      <c r="I267" s="34" t="str">
        <f t="shared" si="62"/>
        <v>30y</v>
      </c>
      <c r="J267" s="36">
        <f t="shared" si="63"/>
        <v>592.06559841915134</v>
      </c>
      <c r="K267" s="36"/>
      <c r="L267" s="36">
        <f t="shared" si="64"/>
        <v>334.44217512606639</v>
      </c>
      <c r="M267" s="36"/>
      <c r="N267" s="36"/>
    </row>
    <row r="268" spans="1:14">
      <c r="A268" s="34" t="s">
        <v>179</v>
      </c>
      <c r="B268" s="35">
        <v>52404</v>
      </c>
      <c r="C268" s="36"/>
      <c r="D268" s="36">
        <f t="shared" si="56"/>
        <v>15073.017357310877</v>
      </c>
      <c r="E268" s="36">
        <f t="shared" si="57"/>
        <v>1706204.9157827306</v>
      </c>
      <c r="F268" s="36">
        <f t="shared" si="58"/>
        <v>10964.304642604373</v>
      </c>
      <c r="G268" s="36">
        <f t="shared" si="54"/>
        <v>26037.32199991525</v>
      </c>
      <c r="H268" s="37">
        <f t="shared" si="55"/>
        <v>7600</v>
      </c>
      <c r="I268" s="34" t="str">
        <f t="shared" si="62"/>
        <v>30y</v>
      </c>
      <c r="J268" s="36">
        <f t="shared" si="63"/>
        <v>592.06559841915134</v>
      </c>
      <c r="K268" s="36"/>
      <c r="L268" s="36">
        <f t="shared" si="64"/>
        <v>334.44217512606639</v>
      </c>
      <c r="M268" s="36"/>
      <c r="N268" s="36"/>
    </row>
    <row r="269" spans="1:14">
      <c r="A269" s="34" t="s">
        <v>179</v>
      </c>
      <c r="B269" s="35">
        <v>52434</v>
      </c>
      <c r="C269" s="36"/>
      <c r="D269" s="36">
        <f t="shared" si="56"/>
        <v>15519.620464268282</v>
      </c>
      <c r="E269" s="36">
        <f t="shared" si="57"/>
        <v>1690685.2953184622</v>
      </c>
      <c r="F269" s="36">
        <f t="shared" si="58"/>
        <v>10517.701535646967</v>
      </c>
      <c r="G269" s="36">
        <f t="shared" si="54"/>
        <v>26037.32199991525</v>
      </c>
      <c r="H269" s="37">
        <f t="shared" si="55"/>
        <v>7630</v>
      </c>
      <c r="I269" s="34" t="str">
        <f t="shared" si="62"/>
        <v>30y</v>
      </c>
      <c r="J269" s="36">
        <f t="shared" si="63"/>
        <v>592.06559841915134</v>
      </c>
      <c r="K269" s="36"/>
      <c r="L269" s="36">
        <f t="shared" si="64"/>
        <v>334.44217512606639</v>
      </c>
      <c r="M269" s="36"/>
      <c r="N269" s="36"/>
    </row>
    <row r="270" spans="1:14">
      <c r="A270" s="34" t="s">
        <v>179</v>
      </c>
      <c r="B270" s="35">
        <v>52465</v>
      </c>
      <c r="C270" s="36"/>
      <c r="D270" s="36">
        <f t="shared" si="56"/>
        <v>15267.888269462033</v>
      </c>
      <c r="E270" s="36">
        <f t="shared" si="57"/>
        <v>1675417.4070490003</v>
      </c>
      <c r="F270" s="36">
        <f t="shared" si="58"/>
        <v>10769.433730453216</v>
      </c>
      <c r="G270" s="36">
        <f t="shared" si="54"/>
        <v>26037.32199991525</v>
      </c>
      <c r="H270" s="37">
        <f t="shared" si="55"/>
        <v>7661</v>
      </c>
      <c r="I270" s="34" t="str">
        <f t="shared" si="62"/>
        <v>30y</v>
      </c>
      <c r="J270" s="36">
        <f t="shared" si="63"/>
        <v>592.06559841915134</v>
      </c>
      <c r="K270" s="36"/>
      <c r="L270" s="36">
        <f t="shared" si="64"/>
        <v>334.44217512606639</v>
      </c>
      <c r="M270" s="36"/>
      <c r="N270" s="36"/>
    </row>
    <row r="271" spans="1:14">
      <c r="A271" s="34" t="s">
        <v>179</v>
      </c>
      <c r="B271" s="35">
        <v>52496</v>
      </c>
      <c r="C271" s="36"/>
      <c r="D271" s="36">
        <f t="shared" si="56"/>
        <v>15365.142626246961</v>
      </c>
      <c r="E271" s="36">
        <f t="shared" si="57"/>
        <v>1660052.2644227534</v>
      </c>
      <c r="F271" s="36">
        <f t="shared" si="58"/>
        <v>10672.179373668288</v>
      </c>
      <c r="G271" s="36">
        <f t="shared" si="54"/>
        <v>26037.32199991525</v>
      </c>
      <c r="H271" s="37">
        <f t="shared" si="55"/>
        <v>7692</v>
      </c>
      <c r="I271" s="34" t="str">
        <f t="shared" si="62"/>
        <v>30y</v>
      </c>
      <c r="J271" s="36">
        <f t="shared" si="63"/>
        <v>592.06559841915134</v>
      </c>
      <c r="K271" s="36"/>
      <c r="L271" s="36">
        <f t="shared" si="64"/>
        <v>334.44217512606639</v>
      </c>
      <c r="M271" s="36"/>
      <c r="N271" s="36"/>
    </row>
    <row r="272" spans="1:14">
      <c r="A272" s="34" t="s">
        <v>179</v>
      </c>
      <c r="B272" s="35">
        <v>52526</v>
      </c>
      <c r="C272" s="36"/>
      <c r="D272" s="36">
        <f t="shared" si="56"/>
        <v>15804.123109638003</v>
      </c>
      <c r="E272" s="36">
        <f t="shared" si="57"/>
        <v>1644248.1413131154</v>
      </c>
      <c r="F272" s="36">
        <f t="shared" si="58"/>
        <v>10233.198890277246</v>
      </c>
      <c r="G272" s="36">
        <f t="shared" si="54"/>
        <v>26037.32199991525</v>
      </c>
      <c r="H272" s="37">
        <f t="shared" si="55"/>
        <v>7722</v>
      </c>
      <c r="I272" s="34" t="str">
        <f t="shared" si="62"/>
        <v>30y</v>
      </c>
      <c r="J272" s="36">
        <f t="shared" si="63"/>
        <v>592.06559841915134</v>
      </c>
      <c r="K272" s="36"/>
      <c r="L272" s="36">
        <f t="shared" si="64"/>
        <v>334.44217512606639</v>
      </c>
      <c r="M272" s="36"/>
      <c r="N272" s="36"/>
    </row>
    <row r="273" spans="1:14">
      <c r="A273" s="34" t="s">
        <v>179</v>
      </c>
      <c r="B273" s="35">
        <v>52557</v>
      </c>
      <c r="C273" s="36"/>
      <c r="D273" s="36">
        <f t="shared" si="56"/>
        <v>15563.686579222118</v>
      </c>
      <c r="E273" s="36">
        <f t="shared" si="57"/>
        <v>1628684.4547338933</v>
      </c>
      <c r="F273" s="36">
        <f t="shared" si="58"/>
        <v>10473.635420693132</v>
      </c>
      <c r="G273" s="36">
        <f t="shared" si="54"/>
        <v>26037.32199991525</v>
      </c>
      <c r="H273" s="37">
        <f t="shared" si="55"/>
        <v>7753</v>
      </c>
      <c r="I273" s="34" t="str">
        <f t="shared" si="62"/>
        <v>30y</v>
      </c>
      <c r="J273" s="36">
        <f t="shared" si="63"/>
        <v>592.06559841915134</v>
      </c>
      <c r="K273" s="36"/>
      <c r="L273" s="36">
        <f t="shared" si="64"/>
        <v>334.44217512606639</v>
      </c>
      <c r="M273" s="36"/>
      <c r="N273" s="36"/>
    </row>
    <row r="274" spans="1:14">
      <c r="A274" s="34" t="s">
        <v>179</v>
      </c>
      <c r="B274" s="35">
        <v>52587</v>
      </c>
      <c r="C274" s="36"/>
      <c r="D274" s="36">
        <f t="shared" si="56"/>
        <v>15997.486320048785</v>
      </c>
      <c r="E274" s="36">
        <f t="shared" si="57"/>
        <v>1612686.9684138445</v>
      </c>
      <c r="F274" s="36">
        <f t="shared" si="58"/>
        <v>10039.835679866464</v>
      </c>
      <c r="G274" s="36">
        <f t="shared" si="54"/>
        <v>26037.32199991525</v>
      </c>
      <c r="H274" s="37">
        <f t="shared" si="55"/>
        <v>7783</v>
      </c>
      <c r="I274" s="34" t="str">
        <f t="shared" si="62"/>
        <v>30y</v>
      </c>
      <c r="J274" s="36">
        <f t="shared" si="63"/>
        <v>592.06559841915134</v>
      </c>
      <c r="K274" s="36"/>
      <c r="L274" s="36">
        <f t="shared" si="64"/>
        <v>334.44217512606639</v>
      </c>
      <c r="M274" s="36"/>
      <c r="N274" s="36"/>
    </row>
    <row r="275" spans="1:14">
      <c r="A275" s="34" t="s">
        <v>179</v>
      </c>
      <c r="B275" s="35">
        <v>52618</v>
      </c>
      <c r="C275" s="36"/>
      <c r="D275" s="36">
        <f t="shared" si="56"/>
        <v>15764.726927142132</v>
      </c>
      <c r="E275" s="36">
        <f t="shared" si="57"/>
        <v>1596922.2414867023</v>
      </c>
      <c r="F275" s="36">
        <f t="shared" si="58"/>
        <v>10272.595072773118</v>
      </c>
      <c r="G275" s="36">
        <f t="shared" ref="G275:G338" si="65">SUM(D275,F275)</f>
        <v>26037.32199991525</v>
      </c>
      <c r="H275" s="37">
        <f t="shared" ref="H275:H338" si="66">B275-$A$3</f>
        <v>7814</v>
      </c>
      <c r="I275" s="34" t="str">
        <f t="shared" si="62"/>
        <v>30y</v>
      </c>
      <c r="J275" s="36">
        <f t="shared" si="63"/>
        <v>592.06559841915134</v>
      </c>
      <c r="K275" s="36"/>
      <c r="L275" s="36">
        <f t="shared" si="64"/>
        <v>334.44217512606639</v>
      </c>
      <c r="M275" s="36"/>
      <c r="N275" s="36"/>
    </row>
    <row r="276" spans="1:14">
      <c r="A276" s="34" t="s">
        <v>179</v>
      </c>
      <c r="B276" s="35">
        <v>52649</v>
      </c>
      <c r="C276" s="36"/>
      <c r="D276" s="36">
        <f t="shared" ref="D276:D339" si="67">$B$14-F276</f>
        <v>15865.146078116393</v>
      </c>
      <c r="E276" s="36">
        <f t="shared" ref="E276:E339" si="68">E275-D276</f>
        <v>1581057.0954085859</v>
      </c>
      <c r="F276" s="36">
        <f t="shared" si="58"/>
        <v>10172.175921798857</v>
      </c>
      <c r="G276" s="36">
        <f t="shared" si="65"/>
        <v>26037.32199991525</v>
      </c>
      <c r="H276" s="37">
        <f t="shared" si="66"/>
        <v>7845</v>
      </c>
      <c r="I276" s="34" t="str">
        <f t="shared" si="62"/>
        <v>30y</v>
      </c>
      <c r="J276" s="36">
        <f t="shared" si="63"/>
        <v>592.06559841915134</v>
      </c>
      <c r="K276" s="36"/>
      <c r="L276" s="36">
        <f t="shared" si="64"/>
        <v>334.44217512606639</v>
      </c>
      <c r="M276" s="36"/>
      <c r="N276" s="36"/>
    </row>
    <row r="277" spans="1:14">
      <c r="A277" s="34" t="s">
        <v>179</v>
      </c>
      <c r="B277" s="35">
        <v>52678</v>
      </c>
      <c r="C277" s="36"/>
      <c r="D277" s="36">
        <f t="shared" si="67"/>
        <v>16615.954376590114</v>
      </c>
      <c r="E277" s="36">
        <f t="shared" si="68"/>
        <v>1564441.1410319956</v>
      </c>
      <c r="F277" s="36">
        <f t="shared" ref="F277:F340" si="69">E276*$J$3*((B277-B276)/365)</f>
        <v>9421.3676233251354</v>
      </c>
      <c r="G277" s="36">
        <f t="shared" si="65"/>
        <v>26037.32199991525</v>
      </c>
      <c r="H277" s="37">
        <f t="shared" si="66"/>
        <v>7874</v>
      </c>
      <c r="I277" s="34" t="str">
        <f t="shared" si="62"/>
        <v>30y</v>
      </c>
      <c r="J277" s="36">
        <f t="shared" si="63"/>
        <v>592.06559841915134</v>
      </c>
      <c r="K277" s="36"/>
      <c r="L277" s="36">
        <f t="shared" si="64"/>
        <v>334.44217512606639</v>
      </c>
      <c r="M277" s="36"/>
      <c r="N277" s="36"/>
    </row>
    <row r="278" spans="1:14">
      <c r="A278" s="34" t="s">
        <v>179</v>
      </c>
      <c r="B278" s="35">
        <v>52709</v>
      </c>
      <c r="C278" s="36"/>
      <c r="D278" s="36">
        <f t="shared" si="67"/>
        <v>16072.046238547058</v>
      </c>
      <c r="E278" s="36">
        <f t="shared" si="68"/>
        <v>1548369.0947934487</v>
      </c>
      <c r="F278" s="36">
        <f t="shared" si="69"/>
        <v>9965.2757613681915</v>
      </c>
      <c r="G278" s="36">
        <f t="shared" si="65"/>
        <v>26037.32199991525</v>
      </c>
      <c r="H278" s="37">
        <f t="shared" si="66"/>
        <v>7905</v>
      </c>
      <c r="I278" s="34" t="str">
        <f t="shared" si="62"/>
        <v>30y</v>
      </c>
      <c r="J278" s="36">
        <f t="shared" si="63"/>
        <v>592.06559841915134</v>
      </c>
      <c r="K278" s="36"/>
      <c r="L278" s="36">
        <f t="shared" si="64"/>
        <v>334.44217512606639</v>
      </c>
      <c r="M278" s="36"/>
      <c r="N278" s="36"/>
    </row>
    <row r="279" spans="1:14">
      <c r="A279" s="34" t="s">
        <v>179</v>
      </c>
      <c r="B279" s="35">
        <v>52739</v>
      </c>
      <c r="C279" s="36"/>
      <c r="D279" s="36">
        <f t="shared" si="67"/>
        <v>16492.58100461317</v>
      </c>
      <c r="E279" s="36">
        <f t="shared" si="68"/>
        <v>1531876.5137888356</v>
      </c>
      <c r="F279" s="36">
        <f t="shared" si="69"/>
        <v>9544.7409953020797</v>
      </c>
      <c r="G279" s="36">
        <f t="shared" si="65"/>
        <v>26037.32199991525</v>
      </c>
      <c r="H279" s="37">
        <f t="shared" si="66"/>
        <v>7935</v>
      </c>
      <c r="I279" s="34" t="str">
        <f t="shared" si="62"/>
        <v>30y</v>
      </c>
      <c r="J279" s="36">
        <f t="shared" si="63"/>
        <v>592.06559841915134</v>
      </c>
      <c r="K279" s="36"/>
      <c r="L279" s="36">
        <f t="shared" si="64"/>
        <v>334.44217512606639</v>
      </c>
      <c r="M279" s="36"/>
      <c r="N279" s="36"/>
    </row>
    <row r="280" spans="1:14">
      <c r="A280" s="34" t="s">
        <v>179</v>
      </c>
      <c r="B280" s="35">
        <v>52770</v>
      </c>
      <c r="C280" s="36"/>
      <c r="D280" s="36">
        <f t="shared" si="67"/>
        <v>16279.478453178146</v>
      </c>
      <c r="E280" s="36">
        <f t="shared" si="68"/>
        <v>1515597.0353356574</v>
      </c>
      <c r="F280" s="36">
        <f t="shared" si="69"/>
        <v>9757.8435467371037</v>
      </c>
      <c r="G280" s="36">
        <f t="shared" si="65"/>
        <v>26037.32199991525</v>
      </c>
      <c r="H280" s="37">
        <f t="shared" si="66"/>
        <v>7966</v>
      </c>
      <c r="I280" s="34" t="str">
        <f t="shared" si="62"/>
        <v>30y</v>
      </c>
      <c r="J280" s="36">
        <f t="shared" si="63"/>
        <v>592.06559841915134</v>
      </c>
      <c r="K280" s="36"/>
      <c r="L280" s="36">
        <f t="shared" si="64"/>
        <v>334.44217512606639</v>
      </c>
      <c r="M280" s="36"/>
      <c r="N280" s="36"/>
    </row>
    <row r="281" spans="1:14">
      <c r="A281" s="34" t="s">
        <v>179</v>
      </c>
      <c r="B281" s="35">
        <v>52800</v>
      </c>
      <c r="C281" s="36"/>
      <c r="D281" s="36">
        <f t="shared" si="67"/>
        <v>16694.600549215993</v>
      </c>
      <c r="E281" s="36">
        <f t="shared" si="68"/>
        <v>1498902.4347864415</v>
      </c>
      <c r="F281" s="36">
        <f t="shared" si="69"/>
        <v>9342.7214506992568</v>
      </c>
      <c r="G281" s="36">
        <f t="shared" si="65"/>
        <v>26037.32199991525</v>
      </c>
      <c r="H281" s="37">
        <f t="shared" si="66"/>
        <v>7996</v>
      </c>
      <c r="I281" s="34" t="str">
        <f t="shared" si="62"/>
        <v>30y</v>
      </c>
      <c r="J281" s="36">
        <f t="shared" si="63"/>
        <v>592.06559841915134</v>
      </c>
      <c r="K281" s="36"/>
      <c r="L281" s="36">
        <f t="shared" si="64"/>
        <v>334.44217512606639</v>
      </c>
      <c r="M281" s="36"/>
      <c r="N281" s="36"/>
    </row>
    <row r="282" spans="1:14">
      <c r="A282" s="34" t="s">
        <v>179</v>
      </c>
      <c r="B282" s="35">
        <v>52831</v>
      </c>
      <c r="C282" s="36"/>
      <c r="D282" s="36">
        <f t="shared" si="67"/>
        <v>16489.518819426274</v>
      </c>
      <c r="E282" s="36">
        <f t="shared" si="68"/>
        <v>1482412.9159670153</v>
      </c>
      <c r="F282" s="36">
        <f t="shared" si="69"/>
        <v>9547.8031804889761</v>
      </c>
      <c r="G282" s="36">
        <f t="shared" si="65"/>
        <v>26037.32199991525</v>
      </c>
      <c r="H282" s="37">
        <f t="shared" si="66"/>
        <v>8027</v>
      </c>
      <c r="I282" s="34" t="str">
        <f t="shared" si="62"/>
        <v>30y</v>
      </c>
      <c r="J282" s="36">
        <f t="shared" si="63"/>
        <v>592.06559841915134</v>
      </c>
      <c r="K282" s="36"/>
      <c r="L282" s="36">
        <f t="shared" si="64"/>
        <v>334.44217512606639</v>
      </c>
      <c r="M282" s="36"/>
      <c r="N282" s="36"/>
    </row>
    <row r="283" spans="1:14">
      <c r="A283" s="34" t="s">
        <v>179</v>
      </c>
      <c r="B283" s="35">
        <v>52862</v>
      </c>
      <c r="C283" s="36"/>
      <c r="D283" s="36">
        <f t="shared" si="67"/>
        <v>16594.554795467826</v>
      </c>
      <c r="E283" s="36">
        <f t="shared" si="68"/>
        <v>1465818.3611715476</v>
      </c>
      <c r="F283" s="36">
        <f t="shared" si="69"/>
        <v>9442.7672044474257</v>
      </c>
      <c r="G283" s="36">
        <f t="shared" si="65"/>
        <v>26037.32199991525</v>
      </c>
      <c r="H283" s="37">
        <f t="shared" si="66"/>
        <v>8058</v>
      </c>
      <c r="I283" s="34" t="str">
        <f t="shared" si="62"/>
        <v>30y</v>
      </c>
      <c r="J283" s="36">
        <f t="shared" si="63"/>
        <v>592.06559841915134</v>
      </c>
      <c r="K283" s="36"/>
      <c r="L283" s="36">
        <f t="shared" si="64"/>
        <v>334.44217512606639</v>
      </c>
      <c r="M283" s="36"/>
      <c r="N283" s="36"/>
    </row>
    <row r="284" spans="1:14">
      <c r="A284" s="34" t="s">
        <v>179</v>
      </c>
      <c r="B284" s="35">
        <v>52892</v>
      </c>
      <c r="C284" s="36"/>
      <c r="D284" s="36">
        <f t="shared" si="67"/>
        <v>17001.455389953655</v>
      </c>
      <c r="E284" s="36">
        <f t="shared" si="68"/>
        <v>1448816.9057815939</v>
      </c>
      <c r="F284" s="36">
        <f t="shared" si="69"/>
        <v>9035.866609961593</v>
      </c>
      <c r="G284" s="36">
        <f t="shared" si="65"/>
        <v>26037.32199991525</v>
      </c>
      <c r="H284" s="37">
        <f t="shared" si="66"/>
        <v>8088</v>
      </c>
      <c r="I284" s="34" t="str">
        <f t="shared" si="62"/>
        <v>30y</v>
      </c>
      <c r="J284" s="36">
        <f t="shared" si="63"/>
        <v>592.06559841915134</v>
      </c>
      <c r="K284" s="36"/>
      <c r="L284" s="36">
        <f t="shared" si="64"/>
        <v>334.44217512606639</v>
      </c>
      <c r="M284" s="36"/>
      <c r="N284" s="36"/>
    </row>
    <row r="285" spans="1:14">
      <c r="A285" s="34" t="s">
        <v>179</v>
      </c>
      <c r="B285" s="35">
        <v>52923</v>
      </c>
      <c r="C285" s="36"/>
      <c r="D285" s="36">
        <f t="shared" si="67"/>
        <v>16808.556778155784</v>
      </c>
      <c r="E285" s="36">
        <f t="shared" si="68"/>
        <v>1432008.3490034381</v>
      </c>
      <c r="F285" s="36">
        <f t="shared" si="69"/>
        <v>9228.7652217594677</v>
      </c>
      <c r="G285" s="36">
        <f t="shared" si="65"/>
        <v>26037.32199991525</v>
      </c>
      <c r="H285" s="37">
        <f t="shared" si="66"/>
        <v>8119</v>
      </c>
      <c r="I285" s="34" t="str">
        <f t="shared" si="62"/>
        <v>30y</v>
      </c>
      <c r="J285" s="36">
        <f t="shared" si="63"/>
        <v>592.06559841915134</v>
      </c>
      <c r="K285" s="36"/>
      <c r="L285" s="36">
        <f t="shared" si="64"/>
        <v>334.44217512606639</v>
      </c>
      <c r="M285" s="36"/>
      <c r="N285" s="36"/>
    </row>
    <row r="286" spans="1:14">
      <c r="A286" s="34" t="s">
        <v>179</v>
      </c>
      <c r="B286" s="35">
        <v>52953</v>
      </c>
      <c r="C286" s="36"/>
      <c r="D286" s="36">
        <f t="shared" si="67"/>
        <v>17209.873273181729</v>
      </c>
      <c r="E286" s="36">
        <f t="shared" si="68"/>
        <v>1414798.4757302564</v>
      </c>
      <c r="F286" s="36">
        <f t="shared" si="69"/>
        <v>8827.4487267335226</v>
      </c>
      <c r="G286" s="36">
        <f t="shared" si="65"/>
        <v>26037.32199991525</v>
      </c>
      <c r="H286" s="37">
        <f t="shared" si="66"/>
        <v>8149</v>
      </c>
      <c r="I286" s="34" t="str">
        <f t="shared" si="62"/>
        <v>30y</v>
      </c>
      <c r="J286" s="36">
        <f t="shared" si="63"/>
        <v>592.06559841915134</v>
      </c>
      <c r="K286" s="36"/>
      <c r="L286" s="36">
        <f t="shared" si="64"/>
        <v>334.44217512606639</v>
      </c>
      <c r="M286" s="36"/>
      <c r="N286" s="36"/>
    </row>
    <row r="287" spans="1:14">
      <c r="A287" s="34" t="s">
        <v>179</v>
      </c>
      <c r="B287" s="35">
        <v>52984</v>
      </c>
      <c r="C287" s="36"/>
      <c r="D287" s="36">
        <f t="shared" si="67"/>
        <v>17025.249517523891</v>
      </c>
      <c r="E287" s="36">
        <f t="shared" si="68"/>
        <v>1397773.2262127325</v>
      </c>
      <c r="F287" s="36">
        <f t="shared" si="69"/>
        <v>9012.0724823913588</v>
      </c>
      <c r="G287" s="36">
        <f t="shared" si="65"/>
        <v>26037.32199991525</v>
      </c>
      <c r="H287" s="37">
        <f t="shared" si="66"/>
        <v>8180</v>
      </c>
      <c r="I287" s="34" t="str">
        <f t="shared" si="62"/>
        <v>30y</v>
      </c>
      <c r="J287" s="36">
        <f t="shared" si="63"/>
        <v>592.06559841915134</v>
      </c>
      <c r="K287" s="36"/>
      <c r="L287" s="36">
        <f t="shared" si="64"/>
        <v>334.44217512606639</v>
      </c>
      <c r="M287" s="36"/>
      <c r="N287" s="36"/>
    </row>
    <row r="288" spans="1:14">
      <c r="A288" s="34" t="s">
        <v>179</v>
      </c>
      <c r="B288" s="35">
        <v>53015</v>
      </c>
      <c r="C288" s="36"/>
      <c r="D288" s="36">
        <f t="shared" si="67"/>
        <v>17133.698024724559</v>
      </c>
      <c r="E288" s="36">
        <f t="shared" si="68"/>
        <v>1380639.5281880079</v>
      </c>
      <c r="F288" s="36">
        <f t="shared" si="69"/>
        <v>8903.6239751906924</v>
      </c>
      <c r="G288" s="36">
        <f t="shared" si="65"/>
        <v>26037.32199991525</v>
      </c>
      <c r="H288" s="37">
        <f t="shared" si="66"/>
        <v>8211</v>
      </c>
      <c r="I288" s="34" t="str">
        <f t="shared" si="62"/>
        <v>30y</v>
      </c>
      <c r="J288" s="36">
        <f t="shared" si="63"/>
        <v>592.06559841915134</v>
      </c>
      <c r="K288" s="36"/>
      <c r="L288" s="36">
        <f t="shared" si="64"/>
        <v>334.44217512606639</v>
      </c>
      <c r="M288" s="36"/>
      <c r="N288" s="36"/>
    </row>
    <row r="289" spans="1:14">
      <c r="A289" s="34" t="s">
        <v>179</v>
      </c>
      <c r="B289" s="35">
        <v>53043</v>
      </c>
      <c r="C289" s="36"/>
      <c r="D289" s="36">
        <f t="shared" si="67"/>
        <v>18093.916495271915</v>
      </c>
      <c r="E289" s="36">
        <f t="shared" si="68"/>
        <v>1362545.6116927359</v>
      </c>
      <c r="F289" s="36">
        <f t="shared" si="69"/>
        <v>7943.4055046433341</v>
      </c>
      <c r="G289" s="36">
        <f t="shared" si="65"/>
        <v>26037.32199991525</v>
      </c>
      <c r="H289" s="37">
        <f t="shared" si="66"/>
        <v>8239</v>
      </c>
      <c r="I289" s="34" t="str">
        <f t="shared" si="62"/>
        <v>30y</v>
      </c>
      <c r="J289" s="36">
        <f t="shared" si="63"/>
        <v>592.06559841915134</v>
      </c>
      <c r="K289" s="36"/>
      <c r="L289" s="36">
        <f t="shared" si="64"/>
        <v>334.44217512606639</v>
      </c>
      <c r="M289" s="36"/>
      <c r="N289" s="36"/>
    </row>
    <row r="290" spans="1:14">
      <c r="A290" s="34" t="s">
        <v>179</v>
      </c>
      <c r="B290" s="35">
        <v>53074</v>
      </c>
      <c r="C290" s="36"/>
      <c r="D290" s="36">
        <f t="shared" si="67"/>
        <v>17358.093103516316</v>
      </c>
      <c r="E290" s="36">
        <f t="shared" si="68"/>
        <v>1345187.5185892195</v>
      </c>
      <c r="F290" s="36">
        <f t="shared" si="69"/>
        <v>8679.228896398934</v>
      </c>
      <c r="G290" s="36">
        <f t="shared" si="65"/>
        <v>26037.32199991525</v>
      </c>
      <c r="H290" s="37">
        <f t="shared" si="66"/>
        <v>8270</v>
      </c>
      <c r="I290" s="34" t="str">
        <f t="shared" si="62"/>
        <v>30y</v>
      </c>
      <c r="J290" s="36">
        <f t="shared" si="63"/>
        <v>592.06559841915134</v>
      </c>
      <c r="K290" s="36"/>
      <c r="L290" s="36">
        <f t="shared" si="64"/>
        <v>334.44217512606639</v>
      </c>
      <c r="M290" s="36"/>
      <c r="N290" s="36"/>
    </row>
    <row r="291" spans="1:14">
      <c r="A291" s="34" t="s">
        <v>179</v>
      </c>
      <c r="B291" s="35">
        <v>53104</v>
      </c>
      <c r="C291" s="36"/>
      <c r="D291" s="36">
        <f t="shared" si="67"/>
        <v>17745.070172995402</v>
      </c>
      <c r="E291" s="36">
        <f t="shared" si="68"/>
        <v>1327442.4484162242</v>
      </c>
      <c r="F291" s="36">
        <f t="shared" si="69"/>
        <v>8292.2518269198463</v>
      </c>
      <c r="G291" s="36">
        <f t="shared" si="65"/>
        <v>26037.32199991525</v>
      </c>
      <c r="H291" s="37">
        <f t="shared" si="66"/>
        <v>8300</v>
      </c>
      <c r="I291" s="34" t="str">
        <f t="shared" ref="I291:I322" si="70">$U$5</f>
        <v>30y</v>
      </c>
      <c r="J291" s="36">
        <f t="shared" ref="J291:J322" si="71">G291*$U$9</f>
        <v>592.06559841915134</v>
      </c>
      <c r="K291" s="36"/>
      <c r="L291" s="36">
        <f t="shared" ref="L291:L322" si="72">G291*$U$11</f>
        <v>334.44217512606639</v>
      </c>
      <c r="M291" s="36"/>
      <c r="N291" s="36"/>
    </row>
    <row r="292" spans="1:14">
      <c r="A292" s="34" t="s">
        <v>179</v>
      </c>
      <c r="B292" s="35">
        <v>53135</v>
      </c>
      <c r="C292" s="36"/>
      <c r="D292" s="36">
        <f t="shared" si="67"/>
        <v>17581.695444935191</v>
      </c>
      <c r="E292" s="36">
        <f t="shared" si="68"/>
        <v>1309860.752971289</v>
      </c>
      <c r="F292" s="36">
        <f t="shared" si="69"/>
        <v>8455.6265549800573</v>
      </c>
      <c r="G292" s="36">
        <f t="shared" si="65"/>
        <v>26037.32199991525</v>
      </c>
      <c r="H292" s="37">
        <f t="shared" si="66"/>
        <v>8331</v>
      </c>
      <c r="I292" s="34" t="str">
        <f t="shared" si="70"/>
        <v>30y</v>
      </c>
      <c r="J292" s="36">
        <f t="shared" si="71"/>
        <v>592.06559841915134</v>
      </c>
      <c r="K292" s="36"/>
      <c r="L292" s="36">
        <f t="shared" si="72"/>
        <v>334.44217512606639</v>
      </c>
      <c r="M292" s="36"/>
      <c r="N292" s="36"/>
    </row>
    <row r="293" spans="1:14">
      <c r="A293" s="34" t="s">
        <v>179</v>
      </c>
      <c r="B293" s="35">
        <v>53165</v>
      </c>
      <c r="C293" s="36"/>
      <c r="D293" s="36">
        <f t="shared" si="67"/>
        <v>17962.83790625662</v>
      </c>
      <c r="E293" s="36">
        <f t="shared" si="68"/>
        <v>1291897.9150650324</v>
      </c>
      <c r="F293" s="36">
        <f t="shared" si="69"/>
        <v>8074.4840936586297</v>
      </c>
      <c r="G293" s="36">
        <f t="shared" si="65"/>
        <v>26037.32199991525</v>
      </c>
      <c r="H293" s="37">
        <f t="shared" si="66"/>
        <v>8361</v>
      </c>
      <c r="I293" s="34" t="str">
        <f t="shared" si="70"/>
        <v>30y</v>
      </c>
      <c r="J293" s="36">
        <f t="shared" si="71"/>
        <v>592.06559841915134</v>
      </c>
      <c r="K293" s="36"/>
      <c r="L293" s="36">
        <f t="shared" si="72"/>
        <v>334.44217512606639</v>
      </c>
      <c r="M293" s="36"/>
      <c r="N293" s="36"/>
    </row>
    <row r="294" spans="1:14">
      <c r="A294" s="34" t="s">
        <v>179</v>
      </c>
      <c r="B294" s="35">
        <v>53196</v>
      </c>
      <c r="C294" s="36"/>
      <c r="D294" s="36">
        <f t="shared" si="67"/>
        <v>17808.109253268125</v>
      </c>
      <c r="E294" s="36">
        <f t="shared" si="68"/>
        <v>1274089.8058117642</v>
      </c>
      <c r="F294" s="36">
        <f t="shared" si="69"/>
        <v>8229.2127466471247</v>
      </c>
      <c r="G294" s="36">
        <f t="shared" si="65"/>
        <v>26037.32199991525</v>
      </c>
      <c r="H294" s="37">
        <f t="shared" si="66"/>
        <v>8392</v>
      </c>
      <c r="I294" s="34" t="str">
        <f t="shared" si="70"/>
        <v>30y</v>
      </c>
      <c r="J294" s="36">
        <f t="shared" si="71"/>
        <v>592.06559841915134</v>
      </c>
      <c r="K294" s="36"/>
      <c r="L294" s="36">
        <f t="shared" si="72"/>
        <v>334.44217512606639</v>
      </c>
      <c r="M294" s="36"/>
      <c r="N294" s="36"/>
    </row>
    <row r="295" spans="1:14">
      <c r="A295" s="34" t="s">
        <v>179</v>
      </c>
      <c r="B295" s="35">
        <v>53227</v>
      </c>
      <c r="C295" s="36"/>
      <c r="D295" s="36">
        <f t="shared" si="67"/>
        <v>17921.544469744425</v>
      </c>
      <c r="E295" s="36">
        <f t="shared" si="68"/>
        <v>1256168.2613420198</v>
      </c>
      <c r="F295" s="36">
        <f t="shared" si="69"/>
        <v>8115.7775301708261</v>
      </c>
      <c r="G295" s="36">
        <f t="shared" si="65"/>
        <v>26037.32199991525</v>
      </c>
      <c r="H295" s="37">
        <f t="shared" si="66"/>
        <v>8423</v>
      </c>
      <c r="I295" s="34" t="str">
        <f t="shared" si="70"/>
        <v>30y</v>
      </c>
      <c r="J295" s="36">
        <f t="shared" si="71"/>
        <v>592.06559841915134</v>
      </c>
      <c r="K295" s="36"/>
      <c r="L295" s="36">
        <f t="shared" si="72"/>
        <v>334.44217512606639</v>
      </c>
      <c r="M295" s="36"/>
      <c r="N295" s="36"/>
    </row>
    <row r="296" spans="1:14">
      <c r="A296" s="34" t="s">
        <v>179</v>
      </c>
      <c r="B296" s="35">
        <v>53257</v>
      </c>
      <c r="C296" s="36"/>
      <c r="D296" s="36">
        <f t="shared" si="67"/>
        <v>18293.819019039787</v>
      </c>
      <c r="E296" s="36">
        <f t="shared" si="68"/>
        <v>1237874.4423229799</v>
      </c>
      <c r="F296" s="36">
        <f t="shared" si="69"/>
        <v>7743.5029808754634</v>
      </c>
      <c r="G296" s="36">
        <f t="shared" si="65"/>
        <v>26037.32199991525</v>
      </c>
      <c r="H296" s="37">
        <f t="shared" si="66"/>
        <v>8453</v>
      </c>
      <c r="I296" s="34" t="str">
        <f t="shared" si="70"/>
        <v>30y</v>
      </c>
      <c r="J296" s="36">
        <f t="shared" si="71"/>
        <v>592.06559841915134</v>
      </c>
      <c r="K296" s="36"/>
      <c r="L296" s="36">
        <f t="shared" si="72"/>
        <v>334.44217512606639</v>
      </c>
      <c r="M296" s="36"/>
      <c r="N296" s="36"/>
    </row>
    <row r="297" spans="1:14">
      <c r="A297" s="34" t="s">
        <v>179</v>
      </c>
      <c r="B297" s="35">
        <v>53288</v>
      </c>
      <c r="C297" s="36"/>
      <c r="D297" s="36">
        <f t="shared" si="67"/>
        <v>18152.231374159281</v>
      </c>
      <c r="E297" s="36">
        <f t="shared" si="68"/>
        <v>1219722.2109488207</v>
      </c>
      <c r="F297" s="36">
        <f t="shared" si="69"/>
        <v>7885.0906257559673</v>
      </c>
      <c r="G297" s="36">
        <f t="shared" si="65"/>
        <v>26037.32199991525</v>
      </c>
      <c r="H297" s="37">
        <f t="shared" si="66"/>
        <v>8484</v>
      </c>
      <c r="I297" s="34" t="str">
        <f t="shared" si="70"/>
        <v>30y</v>
      </c>
      <c r="J297" s="36">
        <f t="shared" si="71"/>
        <v>592.06559841915134</v>
      </c>
      <c r="K297" s="36"/>
      <c r="L297" s="36">
        <f t="shared" si="72"/>
        <v>334.44217512606639</v>
      </c>
      <c r="M297" s="36"/>
      <c r="N297" s="36"/>
    </row>
    <row r="298" spans="1:14">
      <c r="A298" s="34" t="s">
        <v>179</v>
      </c>
      <c r="B298" s="35">
        <v>53318</v>
      </c>
      <c r="C298" s="36"/>
      <c r="D298" s="36">
        <f t="shared" si="67"/>
        <v>18518.486452970465</v>
      </c>
      <c r="E298" s="36">
        <f t="shared" si="68"/>
        <v>1201203.7244958503</v>
      </c>
      <c r="F298" s="36">
        <f t="shared" si="69"/>
        <v>7518.8355469447843</v>
      </c>
      <c r="G298" s="36">
        <f t="shared" si="65"/>
        <v>26037.32199991525</v>
      </c>
      <c r="H298" s="37">
        <f t="shared" si="66"/>
        <v>8514</v>
      </c>
      <c r="I298" s="34" t="str">
        <f t="shared" si="70"/>
        <v>30y</v>
      </c>
      <c r="J298" s="36">
        <f t="shared" si="71"/>
        <v>592.06559841915134</v>
      </c>
      <c r="K298" s="36"/>
      <c r="L298" s="36">
        <f t="shared" si="72"/>
        <v>334.44217512606639</v>
      </c>
      <c r="M298" s="36"/>
      <c r="N298" s="36"/>
    </row>
    <row r="299" spans="1:14">
      <c r="A299" s="34" t="s">
        <v>179</v>
      </c>
      <c r="B299" s="35">
        <v>53349</v>
      </c>
      <c r="C299" s="36"/>
      <c r="D299" s="36">
        <f t="shared" si="67"/>
        <v>18385.818823332094</v>
      </c>
      <c r="E299" s="36">
        <f t="shared" si="68"/>
        <v>1182817.9056725181</v>
      </c>
      <c r="F299" s="36">
        <f t="shared" si="69"/>
        <v>7651.5031765831554</v>
      </c>
      <c r="G299" s="36">
        <f t="shared" si="65"/>
        <v>26037.32199991525</v>
      </c>
      <c r="H299" s="37">
        <f t="shared" si="66"/>
        <v>8545</v>
      </c>
      <c r="I299" s="34" t="str">
        <f t="shared" si="70"/>
        <v>30y</v>
      </c>
      <c r="J299" s="36">
        <f t="shared" si="71"/>
        <v>592.06559841915134</v>
      </c>
      <c r="K299" s="36"/>
      <c r="L299" s="36">
        <f t="shared" si="72"/>
        <v>334.44217512606639</v>
      </c>
      <c r="M299" s="36"/>
      <c r="N299" s="36"/>
    </row>
    <row r="300" spans="1:14">
      <c r="A300" s="34" t="s">
        <v>179</v>
      </c>
      <c r="B300" s="35">
        <v>53380</v>
      </c>
      <c r="C300" s="36"/>
      <c r="D300" s="36">
        <f t="shared" si="67"/>
        <v>18502.933970631402</v>
      </c>
      <c r="E300" s="36">
        <f t="shared" si="68"/>
        <v>1164314.9717018867</v>
      </c>
      <c r="F300" s="36">
        <f t="shared" si="69"/>
        <v>7534.3880292838467</v>
      </c>
      <c r="G300" s="36">
        <f t="shared" si="65"/>
        <v>26037.32199991525</v>
      </c>
      <c r="H300" s="37">
        <f t="shared" si="66"/>
        <v>8576</v>
      </c>
      <c r="I300" s="34" t="str">
        <f t="shared" si="70"/>
        <v>30y</v>
      </c>
      <c r="J300" s="36">
        <f t="shared" si="71"/>
        <v>592.06559841915134</v>
      </c>
      <c r="K300" s="36"/>
      <c r="L300" s="36">
        <f t="shared" si="72"/>
        <v>334.44217512606639</v>
      </c>
      <c r="M300" s="36"/>
      <c r="N300" s="36"/>
    </row>
    <row r="301" spans="1:14">
      <c r="A301" s="34" t="s">
        <v>179</v>
      </c>
      <c r="B301" s="35">
        <v>53408</v>
      </c>
      <c r="C301" s="36"/>
      <c r="D301" s="36">
        <f t="shared" si="67"/>
        <v>19338.523532589326</v>
      </c>
      <c r="E301" s="36">
        <f t="shared" si="68"/>
        <v>1144976.4481692973</v>
      </c>
      <c r="F301" s="36">
        <f t="shared" si="69"/>
        <v>6698.7984673259243</v>
      </c>
      <c r="G301" s="36">
        <f t="shared" si="65"/>
        <v>26037.32199991525</v>
      </c>
      <c r="H301" s="37">
        <f t="shared" si="66"/>
        <v>8604</v>
      </c>
      <c r="I301" s="34" t="str">
        <f t="shared" si="70"/>
        <v>30y</v>
      </c>
      <c r="J301" s="36">
        <f t="shared" si="71"/>
        <v>592.06559841915134</v>
      </c>
      <c r="K301" s="36"/>
      <c r="L301" s="36">
        <f t="shared" si="72"/>
        <v>334.44217512606639</v>
      </c>
      <c r="M301" s="36"/>
      <c r="N301" s="36"/>
    </row>
    <row r="302" spans="1:14">
      <c r="A302" s="34" t="s">
        <v>179</v>
      </c>
      <c r="B302" s="35">
        <v>53439</v>
      </c>
      <c r="C302" s="36"/>
      <c r="D302" s="36">
        <f t="shared" si="67"/>
        <v>18743.978871165615</v>
      </c>
      <c r="E302" s="36">
        <f t="shared" si="68"/>
        <v>1126232.4692981318</v>
      </c>
      <c r="F302" s="36">
        <f t="shared" si="69"/>
        <v>7293.3431287496333</v>
      </c>
      <c r="G302" s="36">
        <f t="shared" si="65"/>
        <v>26037.32199991525</v>
      </c>
      <c r="H302" s="37">
        <f t="shared" si="66"/>
        <v>8635</v>
      </c>
      <c r="I302" s="34" t="str">
        <f t="shared" si="70"/>
        <v>30y</v>
      </c>
      <c r="J302" s="36">
        <f t="shared" si="71"/>
        <v>592.06559841915134</v>
      </c>
      <c r="K302" s="36"/>
      <c r="L302" s="36">
        <f t="shared" si="72"/>
        <v>334.44217512606639</v>
      </c>
      <c r="M302" s="36"/>
      <c r="N302" s="36"/>
    </row>
    <row r="303" spans="1:14">
      <c r="A303" s="34" t="s">
        <v>179</v>
      </c>
      <c r="B303" s="35">
        <v>53469</v>
      </c>
      <c r="C303" s="36"/>
      <c r="D303" s="36">
        <f t="shared" si="67"/>
        <v>19094.793079584302</v>
      </c>
      <c r="E303" s="36">
        <f t="shared" si="68"/>
        <v>1107137.6762185474</v>
      </c>
      <c r="F303" s="36">
        <f t="shared" si="69"/>
        <v>6942.5289203309485</v>
      </c>
      <c r="G303" s="36">
        <f t="shared" si="65"/>
        <v>26037.32199991525</v>
      </c>
      <c r="H303" s="37">
        <f t="shared" si="66"/>
        <v>8665</v>
      </c>
      <c r="I303" s="34" t="str">
        <f t="shared" si="70"/>
        <v>30y</v>
      </c>
      <c r="J303" s="36">
        <f t="shared" si="71"/>
        <v>592.06559841915134</v>
      </c>
      <c r="K303" s="36"/>
      <c r="L303" s="36">
        <f t="shared" si="72"/>
        <v>334.44217512606639</v>
      </c>
      <c r="M303" s="36"/>
      <c r="N303" s="36"/>
    </row>
    <row r="304" spans="1:14">
      <c r="A304" s="34" t="s">
        <v>179</v>
      </c>
      <c r="B304" s="35">
        <v>53500</v>
      </c>
      <c r="C304" s="36"/>
      <c r="D304" s="36">
        <f t="shared" si="67"/>
        <v>18985.006665098477</v>
      </c>
      <c r="E304" s="36">
        <f t="shared" si="68"/>
        <v>1088152.6695534489</v>
      </c>
      <c r="F304" s="36">
        <f t="shared" si="69"/>
        <v>7052.3153348167734</v>
      </c>
      <c r="G304" s="36">
        <f t="shared" si="65"/>
        <v>26037.32199991525</v>
      </c>
      <c r="H304" s="37">
        <f t="shared" si="66"/>
        <v>8696</v>
      </c>
      <c r="I304" s="34" t="str">
        <f t="shared" si="70"/>
        <v>30y</v>
      </c>
      <c r="J304" s="36">
        <f t="shared" si="71"/>
        <v>592.06559841915134</v>
      </c>
      <c r="K304" s="36"/>
      <c r="L304" s="36">
        <f t="shared" si="72"/>
        <v>334.44217512606639</v>
      </c>
      <c r="M304" s="36"/>
      <c r="N304" s="36"/>
    </row>
    <row r="305" spans="1:14">
      <c r="A305" s="34" t="s">
        <v>179</v>
      </c>
      <c r="B305" s="35">
        <v>53530</v>
      </c>
      <c r="C305" s="36"/>
      <c r="D305" s="36">
        <f t="shared" si="67"/>
        <v>19329.531571161115</v>
      </c>
      <c r="E305" s="36">
        <f t="shared" si="68"/>
        <v>1068823.1379822879</v>
      </c>
      <c r="F305" s="36">
        <f t="shared" si="69"/>
        <v>6707.790428754136</v>
      </c>
      <c r="G305" s="36">
        <f t="shared" si="65"/>
        <v>26037.32199991525</v>
      </c>
      <c r="H305" s="37">
        <f t="shared" si="66"/>
        <v>8726</v>
      </c>
      <c r="I305" s="34" t="str">
        <f t="shared" si="70"/>
        <v>30y</v>
      </c>
      <c r="J305" s="36">
        <f t="shared" si="71"/>
        <v>592.06559841915134</v>
      </c>
      <c r="K305" s="36"/>
      <c r="L305" s="36">
        <f t="shared" si="72"/>
        <v>334.44217512606639</v>
      </c>
      <c r="M305" s="36"/>
      <c r="N305" s="36"/>
    </row>
    <row r="306" spans="1:14">
      <c r="A306" s="34" t="s">
        <v>179</v>
      </c>
      <c r="B306" s="35">
        <v>53561</v>
      </c>
      <c r="C306" s="36"/>
      <c r="D306" s="36">
        <f t="shared" si="67"/>
        <v>19229.065025096566</v>
      </c>
      <c r="E306" s="36">
        <f t="shared" si="68"/>
        <v>1049594.0729571914</v>
      </c>
      <c r="F306" s="36">
        <f t="shared" si="69"/>
        <v>6808.2569748186825</v>
      </c>
      <c r="G306" s="36">
        <f t="shared" si="65"/>
        <v>26037.32199991525</v>
      </c>
      <c r="H306" s="37">
        <f t="shared" si="66"/>
        <v>8757</v>
      </c>
      <c r="I306" s="34" t="str">
        <f t="shared" si="70"/>
        <v>30y</v>
      </c>
      <c r="J306" s="36">
        <f t="shared" si="71"/>
        <v>592.06559841915134</v>
      </c>
      <c r="K306" s="36"/>
      <c r="L306" s="36">
        <f t="shared" si="72"/>
        <v>334.44217512606639</v>
      </c>
      <c r="M306" s="36"/>
      <c r="N306" s="36"/>
    </row>
    <row r="307" spans="1:14">
      <c r="A307" s="34" t="s">
        <v>179</v>
      </c>
      <c r="B307" s="35">
        <v>53592</v>
      </c>
      <c r="C307" s="36"/>
      <c r="D307" s="36">
        <f t="shared" si="67"/>
        <v>19351.551535187937</v>
      </c>
      <c r="E307" s="36">
        <f t="shared" si="68"/>
        <v>1030242.5214220034</v>
      </c>
      <c r="F307" s="36">
        <f t="shared" si="69"/>
        <v>6685.7704647273149</v>
      </c>
      <c r="G307" s="36">
        <f t="shared" si="65"/>
        <v>26037.32199991525</v>
      </c>
      <c r="H307" s="37">
        <f t="shared" si="66"/>
        <v>8788</v>
      </c>
      <c r="I307" s="34" t="str">
        <f t="shared" si="70"/>
        <v>30y</v>
      </c>
      <c r="J307" s="36">
        <f t="shared" si="71"/>
        <v>592.06559841915134</v>
      </c>
      <c r="K307" s="36"/>
      <c r="L307" s="36">
        <f t="shared" si="72"/>
        <v>334.44217512606639</v>
      </c>
      <c r="M307" s="36"/>
      <c r="N307" s="36"/>
    </row>
    <row r="308" spans="1:14">
      <c r="A308" s="34" t="s">
        <v>179</v>
      </c>
      <c r="B308" s="35">
        <v>53622</v>
      </c>
      <c r="C308" s="36"/>
      <c r="D308" s="36">
        <f t="shared" si="67"/>
        <v>19686.511936354953</v>
      </c>
      <c r="E308" s="36">
        <f t="shared" si="68"/>
        <v>1010556.0094856485</v>
      </c>
      <c r="F308" s="36">
        <f t="shared" si="69"/>
        <v>6350.810063560295</v>
      </c>
      <c r="G308" s="36">
        <f t="shared" si="65"/>
        <v>26037.32199991525</v>
      </c>
      <c r="H308" s="37">
        <f t="shared" si="66"/>
        <v>8818</v>
      </c>
      <c r="I308" s="34" t="str">
        <f t="shared" si="70"/>
        <v>30y</v>
      </c>
      <c r="J308" s="36">
        <f t="shared" si="71"/>
        <v>592.06559841915134</v>
      </c>
      <c r="K308" s="36"/>
      <c r="L308" s="36">
        <f t="shared" si="72"/>
        <v>334.44217512606639</v>
      </c>
      <c r="M308" s="36"/>
      <c r="N308" s="36"/>
    </row>
    <row r="309" spans="1:14">
      <c r="A309" s="34" t="s">
        <v>179</v>
      </c>
      <c r="B309" s="35">
        <v>53653</v>
      </c>
      <c r="C309" s="36"/>
      <c r="D309" s="36">
        <f t="shared" si="67"/>
        <v>19600.218651821735</v>
      </c>
      <c r="E309" s="36">
        <f t="shared" si="68"/>
        <v>990955.79083382676</v>
      </c>
      <c r="F309" s="36">
        <f t="shared" si="69"/>
        <v>6437.1033480935139</v>
      </c>
      <c r="G309" s="36">
        <f t="shared" si="65"/>
        <v>26037.32199991525</v>
      </c>
      <c r="H309" s="37">
        <f t="shared" si="66"/>
        <v>8849</v>
      </c>
      <c r="I309" s="34" t="str">
        <f t="shared" si="70"/>
        <v>30y</v>
      </c>
      <c r="J309" s="36">
        <f t="shared" si="71"/>
        <v>592.06559841915134</v>
      </c>
      <c r="K309" s="36"/>
      <c r="L309" s="36">
        <f t="shared" si="72"/>
        <v>334.44217512606639</v>
      </c>
      <c r="M309" s="36"/>
      <c r="N309" s="36"/>
    </row>
    <row r="310" spans="1:14">
      <c r="A310" s="34" t="s">
        <v>179</v>
      </c>
      <c r="B310" s="35">
        <v>53683</v>
      </c>
      <c r="C310" s="36"/>
      <c r="D310" s="36">
        <f t="shared" si="67"/>
        <v>19928.690412583441</v>
      </c>
      <c r="E310" s="36">
        <f t="shared" si="68"/>
        <v>971027.10042124335</v>
      </c>
      <c r="F310" s="36">
        <f t="shared" si="69"/>
        <v>6108.6315873318081</v>
      </c>
      <c r="G310" s="36">
        <f t="shared" si="65"/>
        <v>26037.32199991525</v>
      </c>
      <c r="H310" s="37">
        <f t="shared" si="66"/>
        <v>8879</v>
      </c>
      <c r="I310" s="34" t="str">
        <f t="shared" si="70"/>
        <v>30y</v>
      </c>
      <c r="J310" s="36">
        <f t="shared" si="71"/>
        <v>592.06559841915134</v>
      </c>
      <c r="K310" s="36"/>
      <c r="L310" s="36">
        <f t="shared" si="72"/>
        <v>334.44217512606639</v>
      </c>
      <c r="M310" s="36"/>
      <c r="N310" s="36"/>
    </row>
    <row r="311" spans="1:14">
      <c r="A311" s="34" t="s">
        <v>179</v>
      </c>
      <c r="B311" s="35">
        <v>53714</v>
      </c>
      <c r="C311" s="36"/>
      <c r="D311" s="36">
        <f t="shared" si="67"/>
        <v>19852.012387642946</v>
      </c>
      <c r="E311" s="36">
        <f t="shared" si="68"/>
        <v>951175.08803360036</v>
      </c>
      <c r="F311" s="36">
        <f t="shared" si="69"/>
        <v>6185.3096122723027</v>
      </c>
      <c r="G311" s="36">
        <f t="shared" si="65"/>
        <v>26037.32199991525</v>
      </c>
      <c r="H311" s="37">
        <f t="shared" si="66"/>
        <v>8910</v>
      </c>
      <c r="I311" s="34" t="str">
        <f t="shared" si="70"/>
        <v>30y</v>
      </c>
      <c r="J311" s="36">
        <f t="shared" si="71"/>
        <v>592.06559841915134</v>
      </c>
      <c r="K311" s="36"/>
      <c r="L311" s="36">
        <f t="shared" si="72"/>
        <v>334.44217512606639</v>
      </c>
      <c r="M311" s="36"/>
      <c r="N311" s="36"/>
    </row>
    <row r="312" spans="1:14">
      <c r="A312" s="34" t="s">
        <v>179</v>
      </c>
      <c r="B312" s="35">
        <v>53745</v>
      </c>
      <c r="C312" s="36"/>
      <c r="D312" s="36">
        <f t="shared" si="67"/>
        <v>19978.46698709848</v>
      </c>
      <c r="E312" s="36">
        <f t="shared" si="68"/>
        <v>931196.62104650191</v>
      </c>
      <c r="F312" s="36">
        <f t="shared" si="69"/>
        <v>6058.855012816769</v>
      </c>
      <c r="G312" s="36">
        <f t="shared" si="65"/>
        <v>26037.32199991525</v>
      </c>
      <c r="H312" s="37">
        <f t="shared" si="66"/>
        <v>8941</v>
      </c>
      <c r="I312" s="34" t="str">
        <f t="shared" si="70"/>
        <v>30y</v>
      </c>
      <c r="J312" s="36">
        <f t="shared" si="71"/>
        <v>592.06559841915134</v>
      </c>
      <c r="K312" s="36"/>
      <c r="L312" s="36">
        <f t="shared" si="72"/>
        <v>334.44217512606639</v>
      </c>
      <c r="M312" s="36"/>
      <c r="N312" s="36"/>
    </row>
    <row r="313" spans="1:14">
      <c r="A313" s="34" t="s">
        <v>179</v>
      </c>
      <c r="B313" s="35">
        <v>53773</v>
      </c>
      <c r="C313" s="36"/>
      <c r="D313" s="36">
        <f t="shared" si="67"/>
        <v>20679.752399373734</v>
      </c>
      <c r="E313" s="36">
        <f t="shared" si="68"/>
        <v>910516.86864712823</v>
      </c>
      <c r="F313" s="36">
        <f t="shared" si="69"/>
        <v>5357.5696005415175</v>
      </c>
      <c r="G313" s="36">
        <f t="shared" si="65"/>
        <v>26037.32199991525</v>
      </c>
      <c r="H313" s="37">
        <f t="shared" si="66"/>
        <v>8969</v>
      </c>
      <c r="I313" s="34" t="str">
        <f t="shared" si="70"/>
        <v>30y</v>
      </c>
      <c r="J313" s="36">
        <f t="shared" si="71"/>
        <v>592.06559841915134</v>
      </c>
      <c r="K313" s="36"/>
      <c r="L313" s="36">
        <f t="shared" si="72"/>
        <v>334.44217512606639</v>
      </c>
      <c r="M313" s="36"/>
      <c r="N313" s="36"/>
    </row>
    <row r="314" spans="1:14">
      <c r="A314" s="34" t="s">
        <v>179</v>
      </c>
      <c r="B314" s="35">
        <v>53804</v>
      </c>
      <c r="C314" s="36"/>
      <c r="D314" s="36">
        <f t="shared" si="67"/>
        <v>20237.454274971213</v>
      </c>
      <c r="E314" s="36">
        <f t="shared" si="68"/>
        <v>890279.41437215707</v>
      </c>
      <c r="F314" s="36">
        <f t="shared" si="69"/>
        <v>5799.8677249440352</v>
      </c>
      <c r="G314" s="36">
        <f t="shared" si="65"/>
        <v>26037.32199991525</v>
      </c>
      <c r="H314" s="37">
        <f t="shared" si="66"/>
        <v>9000</v>
      </c>
      <c r="I314" s="34" t="str">
        <f t="shared" si="70"/>
        <v>30y</v>
      </c>
      <c r="J314" s="36">
        <f t="shared" si="71"/>
        <v>592.06559841915134</v>
      </c>
      <c r="K314" s="36"/>
      <c r="L314" s="36">
        <f t="shared" si="72"/>
        <v>334.44217512606639</v>
      </c>
      <c r="M314" s="36"/>
      <c r="N314" s="36"/>
    </row>
    <row r="315" spans="1:14">
      <c r="A315" s="34" t="s">
        <v>179</v>
      </c>
      <c r="B315" s="35">
        <v>53834</v>
      </c>
      <c r="C315" s="36"/>
      <c r="D315" s="36">
        <f t="shared" si="67"/>
        <v>20549.298212689624</v>
      </c>
      <c r="E315" s="36">
        <f t="shared" si="68"/>
        <v>869730.11615946749</v>
      </c>
      <c r="F315" s="36">
        <f t="shared" si="69"/>
        <v>5488.0237872256248</v>
      </c>
      <c r="G315" s="36">
        <f t="shared" si="65"/>
        <v>26037.32199991525</v>
      </c>
      <c r="H315" s="37">
        <f t="shared" si="66"/>
        <v>9030</v>
      </c>
      <c r="I315" s="34" t="str">
        <f t="shared" si="70"/>
        <v>30y</v>
      </c>
      <c r="J315" s="36">
        <f t="shared" si="71"/>
        <v>592.06559841915134</v>
      </c>
      <c r="K315" s="36"/>
      <c r="L315" s="36">
        <f t="shared" si="72"/>
        <v>334.44217512606639</v>
      </c>
      <c r="M315" s="36"/>
      <c r="N315" s="36"/>
    </row>
    <row r="316" spans="1:14">
      <c r="A316" s="34" t="s">
        <v>179</v>
      </c>
      <c r="B316" s="35">
        <v>53865</v>
      </c>
      <c r="C316" s="36"/>
      <c r="D316" s="36">
        <f t="shared" si="67"/>
        <v>20497.260301091246</v>
      </c>
      <c r="E316" s="36">
        <f t="shared" si="68"/>
        <v>849232.85585837625</v>
      </c>
      <c r="F316" s="36">
        <f t="shared" si="69"/>
        <v>5540.0616988240045</v>
      </c>
      <c r="G316" s="36">
        <f t="shared" si="65"/>
        <v>26037.32199991525</v>
      </c>
      <c r="H316" s="37">
        <f t="shared" si="66"/>
        <v>9061</v>
      </c>
      <c r="I316" s="34" t="str">
        <f t="shared" si="70"/>
        <v>30y</v>
      </c>
      <c r="J316" s="36">
        <f t="shared" si="71"/>
        <v>592.06559841915134</v>
      </c>
      <c r="K316" s="36"/>
      <c r="L316" s="36">
        <f t="shared" si="72"/>
        <v>334.44217512606639</v>
      </c>
      <c r="M316" s="36"/>
      <c r="N316" s="36"/>
    </row>
    <row r="317" spans="1:14">
      <c r="A317" s="34" t="s">
        <v>179</v>
      </c>
      <c r="B317" s="35">
        <v>53895</v>
      </c>
      <c r="C317" s="36"/>
      <c r="D317" s="36">
        <f t="shared" si="67"/>
        <v>20802.324943254025</v>
      </c>
      <c r="E317" s="36">
        <f t="shared" si="68"/>
        <v>828430.53091512225</v>
      </c>
      <c r="F317" s="36">
        <f t="shared" si="69"/>
        <v>5234.9970566612228</v>
      </c>
      <c r="G317" s="36">
        <f t="shared" si="65"/>
        <v>26037.32199991525</v>
      </c>
      <c r="H317" s="37">
        <f t="shared" si="66"/>
        <v>9091</v>
      </c>
      <c r="I317" s="34" t="str">
        <f t="shared" si="70"/>
        <v>30y</v>
      </c>
      <c r="J317" s="36">
        <f t="shared" si="71"/>
        <v>592.06559841915134</v>
      </c>
      <c r="K317" s="36"/>
      <c r="L317" s="36">
        <f t="shared" si="72"/>
        <v>334.44217512606639</v>
      </c>
      <c r="M317" s="36"/>
      <c r="N317" s="36"/>
    </row>
    <row r="318" spans="1:14">
      <c r="A318" s="34" t="s">
        <v>179</v>
      </c>
      <c r="B318" s="35">
        <v>53926</v>
      </c>
      <c r="C318" s="36"/>
      <c r="D318" s="36">
        <f t="shared" si="67"/>
        <v>20760.333001620293</v>
      </c>
      <c r="E318" s="36">
        <f t="shared" si="68"/>
        <v>807670.19791350199</v>
      </c>
      <c r="F318" s="36">
        <f t="shared" si="69"/>
        <v>5276.9889982949562</v>
      </c>
      <c r="G318" s="36">
        <f t="shared" si="65"/>
        <v>26037.32199991525</v>
      </c>
      <c r="H318" s="37">
        <f t="shared" si="66"/>
        <v>9122</v>
      </c>
      <c r="I318" s="34" t="str">
        <f t="shared" si="70"/>
        <v>30y</v>
      </c>
      <c r="J318" s="36">
        <f t="shared" si="71"/>
        <v>592.06559841915134</v>
      </c>
      <c r="K318" s="36"/>
      <c r="L318" s="36">
        <f t="shared" si="72"/>
        <v>334.44217512606639</v>
      </c>
      <c r="M318" s="36"/>
      <c r="N318" s="36"/>
    </row>
    <row r="319" spans="1:14">
      <c r="A319" s="34" t="s">
        <v>179</v>
      </c>
      <c r="B319" s="35">
        <v>53957</v>
      </c>
      <c r="C319" s="36"/>
      <c r="D319" s="36">
        <f t="shared" si="67"/>
        <v>20892.573478959381</v>
      </c>
      <c r="E319" s="36">
        <f t="shared" si="68"/>
        <v>786777.62443454261</v>
      </c>
      <c r="F319" s="36">
        <f t="shared" si="69"/>
        <v>5144.7485209558681</v>
      </c>
      <c r="G319" s="36">
        <f t="shared" si="65"/>
        <v>26037.32199991525</v>
      </c>
      <c r="H319" s="37">
        <f t="shared" si="66"/>
        <v>9153</v>
      </c>
      <c r="I319" s="34" t="str">
        <f t="shared" si="70"/>
        <v>30y</v>
      </c>
      <c r="J319" s="36">
        <f t="shared" si="71"/>
        <v>592.06559841915134</v>
      </c>
      <c r="K319" s="36"/>
      <c r="L319" s="36">
        <f t="shared" si="72"/>
        <v>334.44217512606639</v>
      </c>
      <c r="M319" s="36"/>
      <c r="N319" s="36"/>
    </row>
    <row r="320" spans="1:14">
      <c r="A320" s="34" t="s">
        <v>179</v>
      </c>
      <c r="B320" s="35">
        <v>53987</v>
      </c>
      <c r="C320" s="36"/>
      <c r="D320" s="36">
        <f t="shared" si="67"/>
        <v>21187.322945181768</v>
      </c>
      <c r="E320" s="36">
        <f t="shared" si="68"/>
        <v>765590.30148936086</v>
      </c>
      <c r="F320" s="36">
        <f t="shared" si="69"/>
        <v>4849.999054733481</v>
      </c>
      <c r="G320" s="36">
        <f t="shared" si="65"/>
        <v>26037.32199991525</v>
      </c>
      <c r="H320" s="37">
        <f t="shared" si="66"/>
        <v>9183</v>
      </c>
      <c r="I320" s="34" t="str">
        <f t="shared" si="70"/>
        <v>30y</v>
      </c>
      <c r="J320" s="36">
        <f t="shared" si="71"/>
        <v>592.06559841915134</v>
      </c>
      <c r="K320" s="36"/>
      <c r="L320" s="36">
        <f t="shared" si="72"/>
        <v>334.44217512606639</v>
      </c>
      <c r="M320" s="36"/>
      <c r="N320" s="36"/>
    </row>
    <row r="321" spans="1:14">
      <c r="A321" s="34" t="s">
        <v>179</v>
      </c>
      <c r="B321" s="35">
        <v>54018</v>
      </c>
      <c r="C321" s="36"/>
      <c r="D321" s="36">
        <f t="shared" si="67"/>
        <v>21160.616654811787</v>
      </c>
      <c r="E321" s="36">
        <f t="shared" si="68"/>
        <v>744429.68483454909</v>
      </c>
      <c r="F321" s="36">
        <f t="shared" si="69"/>
        <v>4876.7053451034626</v>
      </c>
      <c r="G321" s="36">
        <f t="shared" si="65"/>
        <v>26037.32199991525</v>
      </c>
      <c r="H321" s="37">
        <f t="shared" si="66"/>
        <v>9214</v>
      </c>
      <c r="I321" s="34" t="str">
        <f t="shared" si="70"/>
        <v>30y</v>
      </c>
      <c r="J321" s="36">
        <f t="shared" si="71"/>
        <v>592.06559841915134</v>
      </c>
      <c r="K321" s="36"/>
      <c r="L321" s="36">
        <f t="shared" si="72"/>
        <v>334.44217512606639</v>
      </c>
      <c r="M321" s="36"/>
      <c r="N321" s="36"/>
    </row>
    <row r="322" spans="1:14">
      <c r="A322" s="34" t="s">
        <v>179</v>
      </c>
      <c r="B322" s="35">
        <v>54048</v>
      </c>
      <c r="C322" s="36"/>
      <c r="D322" s="36">
        <f t="shared" si="67"/>
        <v>21448.371887921454</v>
      </c>
      <c r="E322" s="36">
        <f t="shared" si="68"/>
        <v>722981.31294662762</v>
      </c>
      <c r="F322" s="36">
        <f t="shared" si="69"/>
        <v>4588.950111993795</v>
      </c>
      <c r="G322" s="36">
        <f t="shared" si="65"/>
        <v>26037.32199991525</v>
      </c>
      <c r="H322" s="37">
        <f t="shared" si="66"/>
        <v>9244</v>
      </c>
      <c r="I322" s="34" t="str">
        <f t="shared" si="70"/>
        <v>30y</v>
      </c>
      <c r="J322" s="36">
        <f t="shared" si="71"/>
        <v>592.06559841915134</v>
      </c>
      <c r="K322" s="36"/>
      <c r="L322" s="36">
        <f t="shared" si="72"/>
        <v>334.44217512606639</v>
      </c>
      <c r="M322" s="36"/>
      <c r="N322" s="36"/>
    </row>
    <row r="323" spans="1:14">
      <c r="A323" s="34" t="s">
        <v>179</v>
      </c>
      <c r="B323" s="35">
        <v>54079</v>
      </c>
      <c r="C323" s="36"/>
      <c r="D323" s="36">
        <f t="shared" si="67"/>
        <v>21432.030074981252</v>
      </c>
      <c r="E323" s="36">
        <f t="shared" si="68"/>
        <v>701549.28287164634</v>
      </c>
      <c r="F323" s="36">
        <f t="shared" si="69"/>
        <v>4605.2919249339975</v>
      </c>
      <c r="G323" s="36">
        <f t="shared" si="65"/>
        <v>26037.32199991525</v>
      </c>
      <c r="H323" s="37">
        <f t="shared" si="66"/>
        <v>9275</v>
      </c>
      <c r="I323" s="34" t="str">
        <f t="shared" ref="I323:I352" si="73">$U$5</f>
        <v>30y</v>
      </c>
      <c r="J323" s="36">
        <f t="shared" ref="J323:J352" si="74">G323*$U$9</f>
        <v>592.06559841915134</v>
      </c>
      <c r="K323" s="36"/>
      <c r="L323" s="36">
        <f t="shared" ref="L323:L352" si="75">G323*$U$11</f>
        <v>334.44217512606639</v>
      </c>
      <c r="M323" s="36"/>
      <c r="N323" s="36"/>
    </row>
    <row r="324" spans="1:14">
      <c r="A324" s="34" t="s">
        <v>179</v>
      </c>
      <c r="B324" s="35">
        <v>54110</v>
      </c>
      <c r="C324" s="36"/>
      <c r="D324" s="36">
        <f t="shared" si="67"/>
        <v>21568.549170664352</v>
      </c>
      <c r="E324" s="36">
        <f t="shared" si="68"/>
        <v>679980.73370098195</v>
      </c>
      <c r="F324" s="36">
        <f t="shared" si="69"/>
        <v>4468.7728292508973</v>
      </c>
      <c r="G324" s="36">
        <f t="shared" si="65"/>
        <v>26037.32199991525</v>
      </c>
      <c r="H324" s="37">
        <f t="shared" si="66"/>
        <v>9306</v>
      </c>
      <c r="I324" s="34" t="str">
        <f t="shared" si="73"/>
        <v>30y</v>
      </c>
      <c r="J324" s="36">
        <f t="shared" si="74"/>
        <v>592.06559841915134</v>
      </c>
      <c r="K324" s="36"/>
      <c r="L324" s="36">
        <f t="shared" si="75"/>
        <v>334.44217512606639</v>
      </c>
      <c r="M324" s="36"/>
      <c r="N324" s="36"/>
    </row>
    <row r="325" spans="1:14">
      <c r="A325" s="34" t="s">
        <v>179</v>
      </c>
      <c r="B325" s="35">
        <v>54139</v>
      </c>
      <c r="C325" s="36"/>
      <c r="D325" s="36">
        <f t="shared" si="67"/>
        <v>21985.382011423098</v>
      </c>
      <c r="E325" s="36">
        <f t="shared" si="68"/>
        <v>657995.35168955883</v>
      </c>
      <c r="F325" s="36">
        <f t="shared" si="69"/>
        <v>4051.9399884921531</v>
      </c>
      <c r="G325" s="36">
        <f t="shared" si="65"/>
        <v>26037.32199991525</v>
      </c>
      <c r="H325" s="37">
        <f t="shared" si="66"/>
        <v>9335</v>
      </c>
      <c r="I325" s="34" t="str">
        <f t="shared" si="73"/>
        <v>30y</v>
      </c>
      <c r="J325" s="36">
        <f t="shared" si="74"/>
        <v>592.06559841915134</v>
      </c>
      <c r="K325" s="36"/>
      <c r="L325" s="36">
        <f t="shared" si="75"/>
        <v>334.44217512606639</v>
      </c>
      <c r="M325" s="36"/>
      <c r="N325" s="36"/>
    </row>
    <row r="326" spans="1:14">
      <c r="A326" s="34" t="s">
        <v>179</v>
      </c>
      <c r="B326" s="35">
        <v>54170</v>
      </c>
      <c r="C326" s="36"/>
      <c r="D326" s="36">
        <f t="shared" si="67"/>
        <v>21845.981746002308</v>
      </c>
      <c r="E326" s="36">
        <f t="shared" si="68"/>
        <v>636149.36994355649</v>
      </c>
      <c r="F326" s="36">
        <f t="shared" si="69"/>
        <v>4191.3402539129429</v>
      </c>
      <c r="G326" s="36">
        <f t="shared" si="65"/>
        <v>26037.32199991525</v>
      </c>
      <c r="H326" s="37">
        <f t="shared" si="66"/>
        <v>9366</v>
      </c>
      <c r="I326" s="34" t="str">
        <f t="shared" si="73"/>
        <v>30y</v>
      </c>
      <c r="J326" s="36">
        <f t="shared" si="74"/>
        <v>592.06559841915134</v>
      </c>
      <c r="K326" s="36"/>
      <c r="L326" s="36">
        <f t="shared" si="75"/>
        <v>334.44217512606639</v>
      </c>
      <c r="M326" s="36"/>
      <c r="N326" s="36"/>
    </row>
    <row r="327" spans="1:14">
      <c r="A327" s="34" t="s">
        <v>179</v>
      </c>
      <c r="B327" s="35">
        <v>54200</v>
      </c>
      <c r="C327" s="36"/>
      <c r="D327" s="36">
        <f t="shared" si="67"/>
        <v>22115.853281085107</v>
      </c>
      <c r="E327" s="36">
        <f t="shared" si="68"/>
        <v>614033.51666247135</v>
      </c>
      <c r="F327" s="36">
        <f t="shared" si="69"/>
        <v>3921.4687188301423</v>
      </c>
      <c r="G327" s="36">
        <f t="shared" si="65"/>
        <v>26037.32199991525</v>
      </c>
      <c r="H327" s="37">
        <f t="shared" si="66"/>
        <v>9396</v>
      </c>
      <c r="I327" s="34" t="str">
        <f t="shared" si="73"/>
        <v>30y</v>
      </c>
      <c r="J327" s="36">
        <f t="shared" si="74"/>
        <v>592.06559841915134</v>
      </c>
      <c r="K327" s="36"/>
      <c r="L327" s="36">
        <f t="shared" si="75"/>
        <v>334.44217512606639</v>
      </c>
      <c r="M327" s="36"/>
      <c r="N327" s="36"/>
    </row>
    <row r="328" spans="1:14">
      <c r="A328" s="34" t="s">
        <v>179</v>
      </c>
      <c r="B328" s="35">
        <v>54231</v>
      </c>
      <c r="C328" s="36"/>
      <c r="D328" s="36">
        <f t="shared" si="67"/>
        <v>22126.012612955674</v>
      </c>
      <c r="E328" s="36">
        <f t="shared" si="68"/>
        <v>591907.5040495157</v>
      </c>
      <c r="F328" s="36">
        <f t="shared" si="69"/>
        <v>3911.3093869595778</v>
      </c>
      <c r="G328" s="36">
        <f t="shared" si="65"/>
        <v>26037.32199991525</v>
      </c>
      <c r="H328" s="37">
        <f t="shared" si="66"/>
        <v>9427</v>
      </c>
      <c r="I328" s="34" t="str">
        <f t="shared" si="73"/>
        <v>30y</v>
      </c>
      <c r="J328" s="36">
        <f t="shared" si="74"/>
        <v>592.06559841915134</v>
      </c>
      <c r="K328" s="36"/>
      <c r="L328" s="36">
        <f t="shared" si="75"/>
        <v>334.44217512606639</v>
      </c>
      <c r="M328" s="36"/>
      <c r="N328" s="36"/>
    </row>
    <row r="329" spans="1:14">
      <c r="A329" s="34" t="s">
        <v>179</v>
      </c>
      <c r="B329" s="35">
        <v>54261</v>
      </c>
      <c r="C329" s="36"/>
      <c r="D329" s="36">
        <f t="shared" si="67"/>
        <v>22388.577111938783</v>
      </c>
      <c r="E329" s="36">
        <f t="shared" si="68"/>
        <v>569518.92693757697</v>
      </c>
      <c r="F329" s="36">
        <f t="shared" si="69"/>
        <v>3648.7448879764665</v>
      </c>
      <c r="G329" s="36">
        <f t="shared" si="65"/>
        <v>26037.32199991525</v>
      </c>
      <c r="H329" s="37">
        <f t="shared" si="66"/>
        <v>9457</v>
      </c>
      <c r="I329" s="34" t="str">
        <f t="shared" si="73"/>
        <v>30y</v>
      </c>
      <c r="J329" s="36">
        <f t="shared" si="74"/>
        <v>592.06559841915134</v>
      </c>
      <c r="K329" s="36"/>
      <c r="L329" s="36">
        <f t="shared" si="75"/>
        <v>334.44217512606639</v>
      </c>
      <c r="M329" s="36"/>
      <c r="N329" s="36"/>
    </row>
    <row r="330" spans="1:14">
      <c r="A330" s="34" t="s">
        <v>179</v>
      </c>
      <c r="B330" s="35">
        <v>54292</v>
      </c>
      <c r="C330" s="36"/>
      <c r="D330" s="36">
        <f t="shared" si="67"/>
        <v>22409.564451614246</v>
      </c>
      <c r="E330" s="36">
        <f t="shared" si="68"/>
        <v>547109.36248596269</v>
      </c>
      <c r="F330" s="36">
        <f t="shared" si="69"/>
        <v>3627.7575483010037</v>
      </c>
      <c r="G330" s="36">
        <f t="shared" si="65"/>
        <v>26037.32199991525</v>
      </c>
      <c r="H330" s="37">
        <f t="shared" si="66"/>
        <v>9488</v>
      </c>
      <c r="I330" s="34" t="str">
        <f t="shared" si="73"/>
        <v>30y</v>
      </c>
      <c r="J330" s="36">
        <f t="shared" si="74"/>
        <v>592.06559841915134</v>
      </c>
      <c r="K330" s="36"/>
      <c r="L330" s="36">
        <f t="shared" si="75"/>
        <v>334.44217512606639</v>
      </c>
      <c r="M330" s="36"/>
      <c r="N330" s="36"/>
    </row>
    <row r="331" spans="1:14">
      <c r="A331" s="34" t="s">
        <v>179</v>
      </c>
      <c r="B331" s="35">
        <v>54323</v>
      </c>
      <c r="C331" s="36"/>
      <c r="D331" s="36">
        <f t="shared" si="67"/>
        <v>22552.310307367679</v>
      </c>
      <c r="E331" s="36">
        <f t="shared" si="68"/>
        <v>524557.05217859498</v>
      </c>
      <c r="F331" s="36">
        <f t="shared" si="69"/>
        <v>3485.01169254757</v>
      </c>
      <c r="G331" s="36">
        <f t="shared" si="65"/>
        <v>26037.32199991525</v>
      </c>
      <c r="H331" s="37">
        <f t="shared" si="66"/>
        <v>9519</v>
      </c>
      <c r="I331" s="34" t="str">
        <f t="shared" si="73"/>
        <v>30y</v>
      </c>
      <c r="J331" s="36">
        <f t="shared" si="74"/>
        <v>592.06559841915134</v>
      </c>
      <c r="K331" s="36"/>
      <c r="L331" s="36">
        <f t="shared" si="75"/>
        <v>334.44217512606639</v>
      </c>
      <c r="M331" s="36"/>
      <c r="N331" s="36"/>
    </row>
    <row r="332" spans="1:14">
      <c r="A332" s="34" t="s">
        <v>179</v>
      </c>
      <c r="B332" s="35">
        <v>54353</v>
      </c>
      <c r="C332" s="36"/>
      <c r="D332" s="36">
        <f t="shared" si="67"/>
        <v>22803.751130321172</v>
      </c>
      <c r="E332" s="36">
        <f t="shared" si="68"/>
        <v>501753.3010482738</v>
      </c>
      <c r="F332" s="36">
        <f t="shared" si="69"/>
        <v>3233.5708695940784</v>
      </c>
      <c r="G332" s="36">
        <f t="shared" si="65"/>
        <v>26037.32199991525</v>
      </c>
      <c r="H332" s="37">
        <f t="shared" si="66"/>
        <v>9549</v>
      </c>
      <c r="I332" s="34" t="str">
        <f t="shared" si="73"/>
        <v>30y</v>
      </c>
      <c r="J332" s="36">
        <f t="shared" si="74"/>
        <v>592.06559841915134</v>
      </c>
      <c r="K332" s="36"/>
      <c r="L332" s="36">
        <f t="shared" si="75"/>
        <v>334.44217512606639</v>
      </c>
      <c r="M332" s="36"/>
      <c r="N332" s="36"/>
    </row>
    <row r="333" spans="1:14">
      <c r="A333" s="34" t="s">
        <v>179</v>
      </c>
      <c r="B333" s="35">
        <v>54384</v>
      </c>
      <c r="C333" s="36"/>
      <c r="D333" s="36">
        <f t="shared" si="67"/>
        <v>22841.222205566657</v>
      </c>
      <c r="E333" s="36">
        <f t="shared" si="68"/>
        <v>478912.07884270715</v>
      </c>
      <c r="F333" s="36">
        <f t="shared" si="69"/>
        <v>3196.0997943485932</v>
      </c>
      <c r="G333" s="36">
        <f t="shared" si="65"/>
        <v>26037.32199991525</v>
      </c>
      <c r="H333" s="37">
        <f t="shared" si="66"/>
        <v>9580</v>
      </c>
      <c r="I333" s="34" t="str">
        <f t="shared" si="73"/>
        <v>30y</v>
      </c>
      <c r="J333" s="36">
        <f t="shared" si="74"/>
        <v>592.06559841915134</v>
      </c>
      <c r="K333" s="36"/>
      <c r="L333" s="36">
        <f t="shared" si="75"/>
        <v>334.44217512606639</v>
      </c>
      <c r="M333" s="36"/>
      <c r="N333" s="36"/>
    </row>
    <row r="334" spans="1:14">
      <c r="A334" s="34" t="s">
        <v>179</v>
      </c>
      <c r="B334" s="35">
        <v>54414</v>
      </c>
      <c r="C334" s="36"/>
      <c r="D334" s="36">
        <f t="shared" si="67"/>
        <v>23085.124253624588</v>
      </c>
      <c r="E334" s="36">
        <f t="shared" si="68"/>
        <v>455826.95458908257</v>
      </c>
      <c r="F334" s="36">
        <f t="shared" si="69"/>
        <v>2952.1977462906607</v>
      </c>
      <c r="G334" s="36">
        <f t="shared" si="65"/>
        <v>26037.32199991525</v>
      </c>
      <c r="H334" s="37">
        <f t="shared" si="66"/>
        <v>9610</v>
      </c>
      <c r="I334" s="34" t="str">
        <f t="shared" si="73"/>
        <v>30y</v>
      </c>
      <c r="J334" s="36">
        <f t="shared" si="74"/>
        <v>592.06559841915134</v>
      </c>
      <c r="K334" s="36"/>
      <c r="L334" s="36">
        <f t="shared" si="75"/>
        <v>334.44217512606639</v>
      </c>
      <c r="M334" s="36"/>
      <c r="N334" s="36"/>
    </row>
    <row r="335" spans="1:14">
      <c r="A335" s="34" t="s">
        <v>179</v>
      </c>
      <c r="B335" s="35">
        <v>54445</v>
      </c>
      <c r="C335" s="36"/>
      <c r="D335" s="36">
        <f t="shared" si="67"/>
        <v>23133.766741231368</v>
      </c>
      <c r="E335" s="36">
        <f t="shared" si="68"/>
        <v>432693.18784785119</v>
      </c>
      <c r="F335" s="36">
        <f t="shared" si="69"/>
        <v>2903.5552586838821</v>
      </c>
      <c r="G335" s="36">
        <f t="shared" si="65"/>
        <v>26037.32199991525</v>
      </c>
      <c r="H335" s="37">
        <f t="shared" si="66"/>
        <v>9641</v>
      </c>
      <c r="I335" s="34" t="str">
        <f t="shared" si="73"/>
        <v>30y</v>
      </c>
      <c r="J335" s="36">
        <f t="shared" si="74"/>
        <v>592.06559841915134</v>
      </c>
      <c r="K335" s="36"/>
      <c r="L335" s="36">
        <f t="shared" si="75"/>
        <v>334.44217512606639</v>
      </c>
      <c r="M335" s="36"/>
      <c r="N335" s="36"/>
    </row>
    <row r="336" spans="1:14">
      <c r="A336" s="34" t="s">
        <v>179</v>
      </c>
      <c r="B336" s="35">
        <v>54476</v>
      </c>
      <c r="C336" s="36"/>
      <c r="D336" s="36">
        <f t="shared" si="67"/>
        <v>23281.125666363871</v>
      </c>
      <c r="E336" s="36">
        <f t="shared" si="68"/>
        <v>409412.06218148733</v>
      </c>
      <c r="F336" s="36">
        <f t="shared" si="69"/>
        <v>2756.1963335513806</v>
      </c>
      <c r="G336" s="36">
        <f t="shared" si="65"/>
        <v>26037.32199991525</v>
      </c>
      <c r="H336" s="37">
        <f t="shared" si="66"/>
        <v>9672</v>
      </c>
      <c r="I336" s="34" t="str">
        <f t="shared" si="73"/>
        <v>30y</v>
      </c>
      <c r="J336" s="36">
        <f t="shared" si="74"/>
        <v>592.06559841915134</v>
      </c>
      <c r="K336" s="36"/>
      <c r="L336" s="36">
        <f t="shared" si="75"/>
        <v>334.44217512606639</v>
      </c>
      <c r="M336" s="36"/>
      <c r="N336" s="36"/>
    </row>
    <row r="337" spans="1:14">
      <c r="A337" s="34" t="s">
        <v>179</v>
      </c>
      <c r="B337" s="35">
        <v>54504</v>
      </c>
      <c r="C337" s="36"/>
      <c r="D337" s="36">
        <f t="shared" si="67"/>
        <v>23681.800546268336</v>
      </c>
      <c r="E337" s="36">
        <f t="shared" si="68"/>
        <v>385730.26163521898</v>
      </c>
      <c r="F337" s="36">
        <f t="shared" si="69"/>
        <v>2355.5214536469134</v>
      </c>
      <c r="G337" s="36">
        <f t="shared" si="65"/>
        <v>26037.32199991525</v>
      </c>
      <c r="H337" s="37">
        <f t="shared" si="66"/>
        <v>9700</v>
      </c>
      <c r="I337" s="34" t="str">
        <f t="shared" si="73"/>
        <v>30y</v>
      </c>
      <c r="J337" s="36">
        <f t="shared" si="74"/>
        <v>592.06559841915134</v>
      </c>
      <c r="K337" s="36"/>
      <c r="L337" s="36">
        <f t="shared" si="75"/>
        <v>334.44217512606639</v>
      </c>
      <c r="M337" s="36"/>
      <c r="N337" s="36"/>
    </row>
    <row r="338" spans="1:14">
      <c r="A338" s="34" t="s">
        <v>179</v>
      </c>
      <c r="B338" s="35">
        <v>54535</v>
      </c>
      <c r="C338" s="36"/>
      <c r="D338" s="36">
        <f t="shared" si="67"/>
        <v>23580.273073060773</v>
      </c>
      <c r="E338" s="36">
        <f t="shared" si="68"/>
        <v>362149.98856215819</v>
      </c>
      <c r="F338" s="36">
        <f t="shared" si="69"/>
        <v>2457.048926854477</v>
      </c>
      <c r="G338" s="36">
        <f t="shared" si="65"/>
        <v>26037.32199991525</v>
      </c>
      <c r="H338" s="37">
        <f t="shared" si="66"/>
        <v>9731</v>
      </c>
      <c r="I338" s="34" t="str">
        <f t="shared" si="73"/>
        <v>30y</v>
      </c>
      <c r="J338" s="36">
        <f t="shared" si="74"/>
        <v>592.06559841915134</v>
      </c>
      <c r="K338" s="36"/>
      <c r="L338" s="36">
        <f t="shared" si="75"/>
        <v>334.44217512606639</v>
      </c>
      <c r="M338" s="36"/>
      <c r="N338" s="36"/>
    </row>
    <row r="339" spans="1:14">
      <c r="A339" s="34" t="s">
        <v>179</v>
      </c>
      <c r="B339" s="35">
        <v>54565</v>
      </c>
      <c r="C339" s="36"/>
      <c r="D339" s="36">
        <f t="shared" si="67"/>
        <v>23804.890563573179</v>
      </c>
      <c r="E339" s="36">
        <f t="shared" si="68"/>
        <v>338345.09799858503</v>
      </c>
      <c r="F339" s="36">
        <f t="shared" si="69"/>
        <v>2232.4314363420708</v>
      </c>
      <c r="G339" s="36">
        <f t="shared" ref="G339:G352" si="76">SUM(D339,F339)</f>
        <v>26037.32199991525</v>
      </c>
      <c r="H339" s="37">
        <f t="shared" ref="H339:H352" si="77">B339-$A$3</f>
        <v>9761</v>
      </c>
      <c r="I339" s="34" t="str">
        <f t="shared" si="73"/>
        <v>30y</v>
      </c>
      <c r="J339" s="36">
        <f t="shared" si="74"/>
        <v>592.06559841915134</v>
      </c>
      <c r="K339" s="36"/>
      <c r="L339" s="36">
        <f t="shared" si="75"/>
        <v>334.44217512606639</v>
      </c>
      <c r="M339" s="36"/>
      <c r="N339" s="36"/>
    </row>
    <row r="340" spans="1:14">
      <c r="A340" s="34" t="s">
        <v>179</v>
      </c>
      <c r="B340" s="35">
        <v>54596</v>
      </c>
      <c r="C340" s="36"/>
      <c r="D340" s="36">
        <f t="shared" ref="D340:D352" si="78">$B$14-F340</f>
        <v>23882.110074307824</v>
      </c>
      <c r="E340" s="36">
        <f t="shared" ref="E340:E352" si="79">E339-D340</f>
        <v>314462.9879242772</v>
      </c>
      <c r="F340" s="36">
        <f t="shared" si="69"/>
        <v>2155.2119256074252</v>
      </c>
      <c r="G340" s="36">
        <f t="shared" si="76"/>
        <v>26037.32199991525</v>
      </c>
      <c r="H340" s="37">
        <f t="shared" si="77"/>
        <v>9792</v>
      </c>
      <c r="I340" s="34" t="str">
        <f t="shared" si="73"/>
        <v>30y</v>
      </c>
      <c r="J340" s="36">
        <f t="shared" si="74"/>
        <v>592.06559841915134</v>
      </c>
      <c r="K340" s="36"/>
      <c r="L340" s="36">
        <f t="shared" si="75"/>
        <v>334.44217512606639</v>
      </c>
      <c r="M340" s="36"/>
      <c r="N340" s="36"/>
    </row>
    <row r="341" spans="1:14">
      <c r="A341" s="34" t="s">
        <v>179</v>
      </c>
      <c r="B341" s="35">
        <v>54626</v>
      </c>
      <c r="C341" s="36"/>
      <c r="D341" s="36">
        <f t="shared" si="78"/>
        <v>24098.851526409431</v>
      </c>
      <c r="E341" s="36">
        <f t="shared" si="79"/>
        <v>290364.13639786775</v>
      </c>
      <c r="F341" s="36">
        <f t="shared" ref="F341:F352" si="80">E340*$J$3*((B341-B340)/365)</f>
        <v>1938.4704735058183</v>
      </c>
      <c r="G341" s="36">
        <f t="shared" si="76"/>
        <v>26037.32199991525</v>
      </c>
      <c r="H341" s="37">
        <f t="shared" si="77"/>
        <v>9822</v>
      </c>
      <c r="I341" s="34" t="str">
        <f t="shared" si="73"/>
        <v>30y</v>
      </c>
      <c r="J341" s="36">
        <f t="shared" si="74"/>
        <v>592.06559841915134</v>
      </c>
      <c r="K341" s="36"/>
      <c r="L341" s="36">
        <f t="shared" si="75"/>
        <v>334.44217512606639</v>
      </c>
      <c r="M341" s="36"/>
      <c r="N341" s="36"/>
    </row>
    <row r="342" spans="1:14">
      <c r="A342" s="34" t="s">
        <v>179</v>
      </c>
      <c r="B342" s="35">
        <v>54657</v>
      </c>
      <c r="C342" s="36"/>
      <c r="D342" s="36">
        <f t="shared" si="78"/>
        <v>24187.742226969927</v>
      </c>
      <c r="E342" s="36">
        <f t="shared" si="79"/>
        <v>266176.39417089784</v>
      </c>
      <c r="F342" s="36">
        <f t="shared" si="80"/>
        <v>1849.5797729453218</v>
      </c>
      <c r="G342" s="36">
        <f t="shared" si="76"/>
        <v>26037.32199991525</v>
      </c>
      <c r="H342" s="37">
        <f t="shared" si="77"/>
        <v>9853</v>
      </c>
      <c r="I342" s="34" t="str">
        <f t="shared" si="73"/>
        <v>30y</v>
      </c>
      <c r="J342" s="36">
        <f t="shared" si="74"/>
        <v>592.06559841915134</v>
      </c>
      <c r="K342" s="36"/>
      <c r="L342" s="36">
        <f t="shared" si="75"/>
        <v>334.44217512606639</v>
      </c>
      <c r="M342" s="36"/>
      <c r="N342" s="36"/>
    </row>
    <row r="343" spans="1:14">
      <c r="A343" s="34" t="s">
        <v>179</v>
      </c>
      <c r="B343" s="35">
        <v>54688</v>
      </c>
      <c r="C343" s="36"/>
      <c r="D343" s="36">
        <f t="shared" si="78"/>
        <v>24341.814831566378</v>
      </c>
      <c r="E343" s="36">
        <f t="shared" si="79"/>
        <v>241834.57933933145</v>
      </c>
      <c r="F343" s="36">
        <f t="shared" si="80"/>
        <v>1695.5071683488698</v>
      </c>
      <c r="G343" s="36">
        <f t="shared" si="76"/>
        <v>26037.32199991525</v>
      </c>
      <c r="H343" s="37">
        <f t="shared" si="77"/>
        <v>9884</v>
      </c>
      <c r="I343" s="34" t="str">
        <f t="shared" si="73"/>
        <v>30y</v>
      </c>
      <c r="J343" s="36">
        <f t="shared" si="74"/>
        <v>592.06559841915134</v>
      </c>
      <c r="K343" s="36"/>
      <c r="L343" s="36">
        <f t="shared" si="75"/>
        <v>334.44217512606639</v>
      </c>
      <c r="M343" s="36"/>
      <c r="N343" s="36"/>
    </row>
    <row r="344" spans="1:14">
      <c r="A344" s="34" t="s">
        <v>179</v>
      </c>
      <c r="B344" s="35">
        <v>54718</v>
      </c>
      <c r="C344" s="36"/>
      <c r="D344" s="36">
        <f t="shared" si="78"/>
        <v>24546.560894398823</v>
      </c>
      <c r="E344" s="36">
        <f t="shared" si="79"/>
        <v>217288.01844493262</v>
      </c>
      <c r="F344" s="36">
        <f t="shared" si="80"/>
        <v>1490.7611055164266</v>
      </c>
      <c r="G344" s="36">
        <f t="shared" si="76"/>
        <v>26037.32199991525</v>
      </c>
      <c r="H344" s="37">
        <f t="shared" si="77"/>
        <v>9914</v>
      </c>
      <c r="I344" s="34" t="str">
        <f t="shared" si="73"/>
        <v>30y</v>
      </c>
      <c r="J344" s="36">
        <f t="shared" si="74"/>
        <v>592.06559841915134</v>
      </c>
      <c r="K344" s="36"/>
      <c r="L344" s="36">
        <f t="shared" si="75"/>
        <v>334.44217512606639</v>
      </c>
      <c r="M344" s="36"/>
      <c r="N344" s="36"/>
    </row>
    <row r="345" spans="1:14">
      <c r="A345" s="34" t="s">
        <v>179</v>
      </c>
      <c r="B345" s="35">
        <v>54749</v>
      </c>
      <c r="C345" s="36"/>
      <c r="D345" s="36">
        <f t="shared" si="78"/>
        <v>24653.227087903007</v>
      </c>
      <c r="E345" s="36">
        <f t="shared" si="79"/>
        <v>192634.79135702961</v>
      </c>
      <c r="F345" s="36">
        <f t="shared" si="80"/>
        <v>1384.0949120122418</v>
      </c>
      <c r="G345" s="36">
        <f t="shared" si="76"/>
        <v>26037.32199991525</v>
      </c>
      <c r="H345" s="37">
        <f t="shared" si="77"/>
        <v>9945</v>
      </c>
      <c r="I345" s="34" t="str">
        <f t="shared" si="73"/>
        <v>30y</v>
      </c>
      <c r="J345" s="36">
        <f t="shared" si="74"/>
        <v>592.06559841915134</v>
      </c>
      <c r="K345" s="36"/>
      <c r="L345" s="36">
        <f t="shared" si="75"/>
        <v>334.44217512606639</v>
      </c>
      <c r="M345" s="36"/>
      <c r="N345" s="36"/>
    </row>
    <row r="346" spans="1:14">
      <c r="A346" s="34" t="s">
        <v>179</v>
      </c>
      <c r="B346" s="35">
        <v>54779</v>
      </c>
      <c r="C346" s="36"/>
      <c r="D346" s="36">
        <f t="shared" si="78"/>
        <v>24849.847258673286</v>
      </c>
      <c r="E346" s="36">
        <f t="shared" si="79"/>
        <v>167784.94409835633</v>
      </c>
      <c r="F346" s="36">
        <f t="shared" si="80"/>
        <v>1187.4747412419633</v>
      </c>
      <c r="G346" s="36">
        <f t="shared" si="76"/>
        <v>26037.32199991525</v>
      </c>
      <c r="H346" s="37">
        <f t="shared" si="77"/>
        <v>9975</v>
      </c>
      <c r="I346" s="34" t="str">
        <f t="shared" si="73"/>
        <v>30y</v>
      </c>
      <c r="J346" s="36">
        <f t="shared" si="74"/>
        <v>592.06559841915134</v>
      </c>
      <c r="K346" s="36"/>
      <c r="L346" s="36">
        <f t="shared" si="75"/>
        <v>334.44217512606639</v>
      </c>
      <c r="M346" s="36"/>
      <c r="N346" s="36"/>
    </row>
    <row r="347" spans="1:14">
      <c r="A347" s="34" t="s">
        <v>179</v>
      </c>
      <c r="B347" s="35">
        <v>54810</v>
      </c>
      <c r="C347" s="36"/>
      <c r="D347" s="36">
        <f t="shared" si="78"/>
        <v>24968.554890247637</v>
      </c>
      <c r="E347" s="36">
        <f t="shared" si="79"/>
        <v>142816.38920810868</v>
      </c>
      <c r="F347" s="36">
        <f t="shared" si="80"/>
        <v>1068.7671096676122</v>
      </c>
      <c r="G347" s="36">
        <f t="shared" si="76"/>
        <v>26037.32199991525</v>
      </c>
      <c r="H347" s="37">
        <f t="shared" si="77"/>
        <v>10006</v>
      </c>
      <c r="I347" s="34" t="str">
        <f t="shared" si="73"/>
        <v>30y</v>
      </c>
      <c r="J347" s="36">
        <f t="shared" si="74"/>
        <v>592.06559841915134</v>
      </c>
      <c r="K347" s="36"/>
      <c r="L347" s="36">
        <f t="shared" si="75"/>
        <v>334.44217512606639</v>
      </c>
      <c r="M347" s="36"/>
      <c r="N347" s="36"/>
    </row>
    <row r="348" spans="1:14">
      <c r="A348" s="34" t="s">
        <v>179</v>
      </c>
      <c r="B348" s="35">
        <v>54841</v>
      </c>
      <c r="C348" s="36"/>
      <c r="D348" s="36">
        <f t="shared" si="78"/>
        <v>25127.601164548531</v>
      </c>
      <c r="E348" s="36">
        <f t="shared" si="79"/>
        <v>117688.78804356015</v>
      </c>
      <c r="F348" s="36">
        <f t="shared" si="80"/>
        <v>909.7208353667196</v>
      </c>
      <c r="G348" s="36">
        <f t="shared" si="76"/>
        <v>26037.32199991525</v>
      </c>
      <c r="H348" s="37">
        <f t="shared" si="77"/>
        <v>10037</v>
      </c>
      <c r="I348" s="34" t="str">
        <f t="shared" si="73"/>
        <v>30y</v>
      </c>
      <c r="J348" s="36">
        <f t="shared" si="74"/>
        <v>592.06559841915134</v>
      </c>
      <c r="K348" s="36"/>
      <c r="L348" s="36">
        <f t="shared" si="75"/>
        <v>334.44217512606639</v>
      </c>
      <c r="M348" s="36"/>
      <c r="N348" s="36"/>
    </row>
    <row r="349" spans="1:14">
      <c r="A349" s="34" t="s">
        <v>179</v>
      </c>
      <c r="B349" s="35">
        <v>54869</v>
      </c>
      <c r="C349" s="36"/>
      <c r="D349" s="36">
        <f t="shared" si="78"/>
        <v>25360.20842487011</v>
      </c>
      <c r="E349" s="36">
        <f t="shared" si="79"/>
        <v>92328.579618690041</v>
      </c>
      <c r="F349" s="36">
        <f t="shared" si="80"/>
        <v>677.11357504514058</v>
      </c>
      <c r="G349" s="36">
        <f t="shared" si="76"/>
        <v>26037.32199991525</v>
      </c>
      <c r="H349" s="37">
        <f t="shared" si="77"/>
        <v>10065</v>
      </c>
      <c r="I349" s="34" t="str">
        <f t="shared" si="73"/>
        <v>30y</v>
      </c>
      <c r="J349" s="36">
        <f t="shared" si="74"/>
        <v>592.06559841915134</v>
      </c>
      <c r="K349" s="36"/>
      <c r="L349" s="36">
        <f t="shared" si="75"/>
        <v>334.44217512606639</v>
      </c>
      <c r="M349" s="36"/>
      <c r="N349" s="36"/>
    </row>
    <row r="350" spans="1:14">
      <c r="A350" s="34" t="s">
        <v>179</v>
      </c>
      <c r="B350" s="35">
        <v>54900</v>
      </c>
      <c r="C350" s="36"/>
      <c r="D350" s="36">
        <f t="shared" si="78"/>
        <v>25449.201595494826</v>
      </c>
      <c r="E350" s="36">
        <f t="shared" si="79"/>
        <v>66879.378023195211</v>
      </c>
      <c r="F350" s="36">
        <f t="shared" si="80"/>
        <v>588.12040442042291</v>
      </c>
      <c r="G350" s="36">
        <f t="shared" si="76"/>
        <v>26037.32199991525</v>
      </c>
      <c r="H350" s="37">
        <f t="shared" si="77"/>
        <v>10096</v>
      </c>
      <c r="I350" s="34" t="str">
        <f t="shared" si="73"/>
        <v>30y</v>
      </c>
      <c r="J350" s="36">
        <f t="shared" si="74"/>
        <v>592.06559841915134</v>
      </c>
      <c r="K350" s="36"/>
      <c r="L350" s="36">
        <f t="shared" si="75"/>
        <v>334.44217512606639</v>
      </c>
      <c r="M350" s="36"/>
      <c r="N350" s="36"/>
    </row>
    <row r="351" spans="1:14">
      <c r="A351" s="34" t="s">
        <v>179</v>
      </c>
      <c r="B351" s="35">
        <v>54930</v>
      </c>
      <c r="C351" s="36"/>
      <c r="D351" s="36">
        <f t="shared" si="78"/>
        <v>25625.051861416101</v>
      </c>
      <c r="E351" s="36">
        <f t="shared" si="79"/>
        <v>41254.326161779114</v>
      </c>
      <c r="F351" s="36">
        <f t="shared" si="80"/>
        <v>412.27013849914852</v>
      </c>
      <c r="G351" s="36">
        <f t="shared" si="76"/>
        <v>26037.32199991525</v>
      </c>
      <c r="H351" s="37">
        <f t="shared" si="77"/>
        <v>10126</v>
      </c>
      <c r="I351" s="34" t="str">
        <f t="shared" si="73"/>
        <v>30y</v>
      </c>
      <c r="J351" s="36">
        <f t="shared" si="74"/>
        <v>592.06559841915134</v>
      </c>
      <c r="K351" s="36"/>
      <c r="L351" s="36">
        <f t="shared" si="75"/>
        <v>334.44217512606639</v>
      </c>
      <c r="M351" s="36"/>
      <c r="N351" s="36"/>
    </row>
    <row r="352" spans="1:14">
      <c r="A352" s="34" t="s">
        <v>179</v>
      </c>
      <c r="B352" s="35">
        <v>54954</v>
      </c>
      <c r="C352" s="36"/>
      <c r="D352" s="36">
        <f t="shared" si="78"/>
        <v>25833.876007884559</v>
      </c>
      <c r="E352" s="36">
        <f t="shared" si="79"/>
        <v>15420.450153894555</v>
      </c>
      <c r="F352" s="36">
        <f t="shared" si="80"/>
        <v>203.44599203069149</v>
      </c>
      <c r="G352" s="36">
        <f t="shared" si="76"/>
        <v>26037.32199991525</v>
      </c>
      <c r="H352" s="37">
        <f t="shared" si="77"/>
        <v>10150</v>
      </c>
      <c r="I352" s="34" t="str">
        <f t="shared" si="73"/>
        <v>30y</v>
      </c>
      <c r="J352" s="36">
        <f t="shared" si="74"/>
        <v>592.06559841915134</v>
      </c>
      <c r="K352" s="36"/>
      <c r="L352" s="36">
        <f t="shared" si="75"/>
        <v>334.44217512606639</v>
      </c>
      <c r="M352" s="36"/>
      <c r="N352" s="36"/>
    </row>
    <row r="353" spans="1:14">
      <c r="A353" s="34"/>
      <c r="B353" s="34"/>
      <c r="C353" s="36"/>
      <c r="D353" s="36"/>
      <c r="E353" s="36"/>
      <c r="F353" s="36"/>
      <c r="G353" s="36"/>
      <c r="H353" s="34"/>
      <c r="I353" s="34"/>
      <c r="J353" s="36"/>
      <c r="K353" s="36">
        <f>SUM(J19:J352)</f>
        <v>2056999.4971249553</v>
      </c>
      <c r="L353" s="36"/>
      <c r="M353" s="36">
        <f>SUM(L19:L352)</f>
        <v>1892477.0845143073</v>
      </c>
      <c r="N353" s="36">
        <f>M353-K353</f>
        <v>-164522.41261064797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Тестовый портфель</vt:lpstr>
      <vt:lpstr>Портфель 5 сделок</vt:lpstr>
      <vt:lpstr>КС ЦБ</vt:lpstr>
      <vt:lpstr>Тестовые сделки</vt:lpstr>
      <vt:lpstr>1 сделка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 Петров</dc:creator>
  <cp:lastModifiedBy>Данил Петров</cp:lastModifiedBy>
  <dcterms:created xsi:type="dcterms:W3CDTF">2026-10-16T11:29:09Z</dcterms:created>
  <dcterms:modified xsi:type="dcterms:W3CDTF">2026-10-16T11:38:20Z</dcterms:modified>
</cp:coreProperties>
</file>